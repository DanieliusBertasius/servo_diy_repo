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F86" i="1"/>
  <c r="F89" i="1"/>
  <c r="B2" i="4"/>
  <c r="B6" i="4" s="1"/>
  <c r="B7" i="4"/>
  <c r="B8" i="4"/>
  <c r="B22" i="4"/>
  <c r="B27" i="4"/>
  <c r="B40" i="4"/>
  <c r="B41" i="4"/>
  <c r="B43" i="4"/>
  <c r="B1" i="5"/>
  <c r="B2" i="5" s="1"/>
  <c r="B3" i="5"/>
  <c r="F6" i="5"/>
  <c r="G6" i="5" s="1"/>
  <c r="F7" i="5"/>
  <c r="B8" i="5"/>
  <c r="B10" i="5"/>
  <c r="B11" i="5"/>
  <c r="B12" i="5"/>
  <c r="F53" i="5" s="1"/>
  <c r="I53" i="5" s="1"/>
  <c r="B13" i="5"/>
  <c r="B14" i="5"/>
  <c r="G97" i="5" s="1"/>
  <c r="B15" i="5"/>
  <c r="B16" i="5"/>
  <c r="M132" i="5" s="1"/>
  <c r="F20" i="5"/>
  <c r="I20" i="5" s="1"/>
  <c r="F35" i="5"/>
  <c r="I35" i="5" s="1"/>
  <c r="F51" i="5"/>
  <c r="F55" i="5"/>
  <c r="F59" i="5"/>
  <c r="F64" i="5"/>
  <c r="G64" i="5"/>
  <c r="F65" i="5"/>
  <c r="F66" i="5"/>
  <c r="G66" i="5"/>
  <c r="F69" i="5"/>
  <c r="F73" i="5"/>
  <c r="G73" i="5" s="1"/>
  <c r="I73" i="5"/>
  <c r="F75" i="5"/>
  <c r="I75" i="5"/>
  <c r="F77" i="5"/>
  <c r="I77" i="5" s="1"/>
  <c r="F79" i="5"/>
  <c r="G79" i="5"/>
  <c r="F81" i="5"/>
  <c r="G81" i="5"/>
  <c r="F83" i="5"/>
  <c r="F85" i="5"/>
  <c r="I85" i="5" s="1"/>
  <c r="F86" i="5"/>
  <c r="F87" i="5"/>
  <c r="F88" i="5"/>
  <c r="I88" i="5" s="1"/>
  <c r="F89" i="5"/>
  <c r="I89" i="5" s="1"/>
  <c r="F90" i="5"/>
  <c r="G90" i="5"/>
  <c r="I90" i="5"/>
  <c r="F91" i="5"/>
  <c r="I91" i="5" s="1"/>
  <c r="F92" i="5"/>
  <c r="I92" i="5"/>
  <c r="F93" i="5"/>
  <c r="I93" i="5"/>
  <c r="F95" i="5"/>
  <c r="I95" i="5" s="1"/>
  <c r="G95" i="5"/>
  <c r="F96" i="5"/>
  <c r="F97" i="5"/>
  <c r="I97" i="5"/>
  <c r="F98" i="5"/>
  <c r="F99" i="5"/>
  <c r="I99" i="5" s="1"/>
  <c r="F100" i="5"/>
  <c r="F101" i="5"/>
  <c r="I101" i="5" s="1"/>
  <c r="F102" i="5"/>
  <c r="I102" i="5" s="1"/>
  <c r="G102" i="5"/>
  <c r="F103" i="5"/>
  <c r="G103" i="5"/>
  <c r="I103" i="5"/>
  <c r="F104" i="5"/>
  <c r="G104" i="5" s="1"/>
  <c r="I104" i="5"/>
  <c r="F105" i="5"/>
  <c r="G105" i="5" s="1"/>
  <c r="F106" i="5"/>
  <c r="F107" i="5"/>
  <c r="G107" i="5"/>
  <c r="F108" i="5"/>
  <c r="I108" i="5"/>
  <c r="F109" i="5"/>
  <c r="G109" i="5"/>
  <c r="I109" i="5"/>
  <c r="F110" i="5"/>
  <c r="F111" i="5"/>
  <c r="I111" i="5"/>
  <c r="F112" i="5"/>
  <c r="F113" i="5"/>
  <c r="I113" i="5" s="1"/>
  <c r="F114" i="5"/>
  <c r="F115" i="5"/>
  <c r="I115" i="5" s="1"/>
  <c r="F116" i="5"/>
  <c r="G116" i="5" s="1"/>
  <c r="I116" i="5"/>
  <c r="F117" i="5"/>
  <c r="G117" i="5" s="1"/>
  <c r="F118" i="5"/>
  <c r="G118" i="5" s="1"/>
  <c r="F119" i="5"/>
  <c r="G119" i="5" s="1"/>
  <c r="I119" i="5"/>
  <c r="F120" i="5"/>
  <c r="G120" i="5" s="1"/>
  <c r="F121" i="5"/>
  <c r="F122" i="5"/>
  <c r="I122" i="5" s="1"/>
  <c r="G122" i="5"/>
  <c r="F123" i="5"/>
  <c r="I123" i="5" s="1"/>
  <c r="F124" i="5"/>
  <c r="I124" i="5" s="1"/>
  <c r="F125" i="5"/>
  <c r="F126" i="5"/>
  <c r="I126" i="5" s="1"/>
  <c r="G126" i="5"/>
  <c r="F127" i="5"/>
  <c r="G127" i="5" s="1"/>
  <c r="F128" i="5"/>
  <c r="G128" i="5" s="1"/>
  <c r="I128" i="5"/>
  <c r="F129" i="5"/>
  <c r="G129" i="5" s="1"/>
  <c r="I129" i="5"/>
  <c r="F130" i="5"/>
  <c r="I130" i="5"/>
  <c r="F131" i="5"/>
  <c r="I131" i="5"/>
  <c r="F132" i="5"/>
  <c r="G132" i="5" s="1"/>
  <c r="F133" i="5"/>
  <c r="G133" i="5" s="1"/>
  <c r="I133" i="5"/>
  <c r="F134" i="5"/>
  <c r="F135" i="5"/>
  <c r="I135" i="5" s="1"/>
  <c r="F136" i="5"/>
  <c r="F137" i="5"/>
  <c r="I137" i="5"/>
  <c r="F138" i="5"/>
  <c r="I138" i="5"/>
  <c r="F139" i="5"/>
  <c r="G139" i="5"/>
  <c r="F140" i="5"/>
  <c r="I140" i="5" s="1"/>
  <c r="F141" i="5"/>
  <c r="I141" i="5" s="1"/>
  <c r="F142" i="5"/>
  <c r="I142" i="5"/>
  <c r="F143" i="5"/>
  <c r="G143" i="5" s="1"/>
  <c r="I143" i="5"/>
  <c r="F144" i="5"/>
  <c r="G144" i="5" s="1"/>
  <c r="F145" i="5"/>
  <c r="F146" i="5"/>
  <c r="F147" i="5"/>
  <c r="I147" i="5" s="1"/>
  <c r="G147" i="5"/>
  <c r="F148" i="5"/>
  <c r="G148" i="5" s="1"/>
  <c r="F149" i="5"/>
  <c r="I149" i="5"/>
  <c r="F150" i="5"/>
  <c r="I150" i="5" s="1"/>
  <c r="G150" i="5"/>
  <c r="F151" i="5"/>
  <c r="F152" i="5"/>
  <c r="I152" i="5" s="1"/>
  <c r="G152" i="5"/>
  <c r="F153" i="5"/>
  <c r="I153" i="5" s="1"/>
  <c r="F154" i="5"/>
  <c r="G154" i="5"/>
  <c r="I154" i="5"/>
  <c r="F155" i="5"/>
  <c r="G155" i="5"/>
  <c r="I155" i="5"/>
  <c r="F156" i="5"/>
  <c r="G156" i="5"/>
  <c r="I156" i="5"/>
  <c r="F157" i="5"/>
  <c r="I157" i="5" s="1"/>
  <c r="G157" i="5"/>
  <c r="F158" i="5"/>
  <c r="F159" i="5"/>
  <c r="I159" i="5" s="1"/>
  <c r="F160" i="5"/>
  <c r="G160" i="5" s="1"/>
  <c r="F161" i="5"/>
  <c r="G161" i="5" s="1"/>
  <c r="F162" i="5"/>
  <c r="I162" i="5"/>
  <c r="F163" i="5"/>
  <c r="I163" i="5" s="1"/>
  <c r="G163" i="5"/>
  <c r="F164" i="5"/>
  <c r="F165" i="5"/>
  <c r="G165" i="5" s="1"/>
  <c r="F166" i="5"/>
  <c r="I166" i="5" s="1"/>
  <c r="F167" i="5"/>
  <c r="G167" i="5"/>
  <c r="I167" i="5"/>
  <c r="F168" i="5"/>
  <c r="I168" i="5" s="1"/>
  <c r="F169" i="5"/>
  <c r="I169" i="5" s="1"/>
  <c r="F170" i="5"/>
  <c r="F171" i="5"/>
  <c r="I171" i="5" s="1"/>
  <c r="F172" i="5"/>
  <c r="G172" i="5" s="1"/>
  <c r="F173" i="5"/>
  <c r="G173" i="5" s="1"/>
  <c r="F174" i="5"/>
  <c r="F175" i="5"/>
  <c r="G175" i="5" s="1"/>
  <c r="I175" i="5"/>
  <c r="F176" i="5"/>
  <c r="F177" i="5"/>
  <c r="G177" i="5" s="1"/>
  <c r="F178" i="5"/>
  <c r="I178" i="5" s="1"/>
  <c r="G178" i="5"/>
  <c r="F179" i="5"/>
  <c r="G179" i="5" s="1"/>
  <c r="I179" i="5"/>
  <c r="F180" i="5"/>
  <c r="G180" i="5" s="1"/>
  <c r="F181" i="5"/>
  <c r="I181" i="5" s="1"/>
  <c r="F182" i="5"/>
  <c r="F183" i="5"/>
  <c r="F184" i="5"/>
  <c r="G184" i="5"/>
  <c r="F185" i="5"/>
  <c r="F186" i="5"/>
  <c r="I186" i="5"/>
  <c r="M186" i="5"/>
  <c r="F187" i="5"/>
  <c r="G187" i="5" s="1"/>
  <c r="I187" i="5"/>
  <c r="F188" i="5"/>
  <c r="F189" i="5"/>
  <c r="G189" i="5"/>
  <c r="F190" i="5"/>
  <c r="G190" i="5" s="1"/>
  <c r="F191" i="5"/>
  <c r="I191" i="5"/>
  <c r="F192" i="5"/>
  <c r="G192" i="5" s="1"/>
  <c r="I192" i="5"/>
  <c r="F193" i="5"/>
  <c r="F194" i="5"/>
  <c r="M194" i="5"/>
  <c r="F195" i="5"/>
  <c r="G195" i="5" s="1"/>
  <c r="F196" i="5"/>
  <c r="I196" i="5" s="1"/>
  <c r="F197" i="5"/>
  <c r="G197" i="5" s="1"/>
  <c r="F198" i="5"/>
  <c r="F199" i="5"/>
  <c r="I199" i="5"/>
  <c r="F200" i="5"/>
  <c r="G200" i="5" s="1"/>
  <c r="I200" i="5"/>
  <c r="F201" i="5"/>
  <c r="G201" i="5" s="1"/>
  <c r="I201" i="5"/>
  <c r="F202" i="5"/>
  <c r="I202" i="5"/>
  <c r="F203" i="5"/>
  <c r="G203" i="5" s="1"/>
  <c r="I203" i="5"/>
  <c r="F204" i="5"/>
  <c r="G204" i="5" s="1"/>
  <c r="F205" i="5"/>
  <c r="I205" i="5" s="1"/>
  <c r="G205" i="5"/>
  <c r="F206" i="5"/>
  <c r="F207" i="5"/>
  <c r="F208" i="5"/>
  <c r="F209" i="5"/>
  <c r="G209" i="5" s="1"/>
  <c r="M209" i="5"/>
  <c r="F210" i="5"/>
  <c r="F211" i="5"/>
  <c r="G211" i="5" s="1"/>
  <c r="F212" i="5"/>
  <c r="I212" i="5" s="1"/>
  <c r="G212" i="5"/>
  <c r="F213" i="5"/>
  <c r="F214" i="5"/>
  <c r="G214" i="5"/>
  <c r="I214" i="5"/>
  <c r="F215" i="5"/>
  <c r="F216" i="5"/>
  <c r="F217" i="5"/>
  <c r="I217" i="5" s="1"/>
  <c r="F218" i="5"/>
  <c r="F219" i="5"/>
  <c r="I219" i="5"/>
  <c r="F220" i="5"/>
  <c r="F221" i="5"/>
  <c r="F222" i="5"/>
  <c r="G222" i="5"/>
  <c r="F223" i="5"/>
  <c r="G223" i="5" s="1"/>
  <c r="F224" i="5"/>
  <c r="I224" i="5"/>
  <c r="F225" i="5"/>
  <c r="G225" i="5" s="1"/>
  <c r="I225" i="5"/>
  <c r="F226" i="5"/>
  <c r="F227" i="5"/>
  <c r="I227" i="5" s="1"/>
  <c r="G227" i="5"/>
  <c r="F228" i="5"/>
  <c r="G228" i="5"/>
  <c r="I228" i="5"/>
  <c r="F229" i="5"/>
  <c r="I229" i="5" s="1"/>
  <c r="F230" i="5"/>
  <c r="I230" i="5" s="1"/>
  <c r="F231" i="5"/>
  <c r="I231" i="5" s="1"/>
  <c r="F232" i="5"/>
  <c r="F233" i="5"/>
  <c r="I233" i="5" s="1"/>
  <c r="M233" i="5"/>
  <c r="F234" i="5"/>
  <c r="I234" i="5" s="1"/>
  <c r="F235" i="5"/>
  <c r="G235" i="5" s="1"/>
  <c r="I235" i="5"/>
  <c r="F236" i="5"/>
  <c r="G236" i="5" s="1"/>
  <c r="I236" i="5"/>
  <c r="F237" i="5"/>
  <c r="G237" i="5" s="1"/>
  <c r="I237" i="5"/>
  <c r="F238" i="5"/>
  <c r="I238" i="5"/>
  <c r="F239" i="5"/>
  <c r="G239" i="5" s="1"/>
  <c r="F240" i="5"/>
  <c r="I240" i="5" s="1"/>
  <c r="F241" i="5"/>
  <c r="F242" i="5"/>
  <c r="F243" i="5"/>
  <c r="I243" i="5" s="1"/>
  <c r="G243" i="5"/>
  <c r="F244" i="5"/>
  <c r="F245" i="5"/>
  <c r="G245" i="5" s="1"/>
  <c r="I245" i="5"/>
  <c r="F246" i="5"/>
  <c r="G246" i="5"/>
  <c r="F247" i="5"/>
  <c r="I247" i="5"/>
  <c r="F248" i="5"/>
  <c r="G248" i="5"/>
  <c r="I248" i="5"/>
  <c r="F249" i="5"/>
  <c r="I249" i="5"/>
  <c r="F250" i="5"/>
  <c r="F251" i="5"/>
  <c r="I251" i="5" s="1"/>
  <c r="M251" i="5"/>
  <c r="F252" i="5"/>
  <c r="F253" i="5"/>
  <c r="F254" i="5"/>
  <c r="F255" i="5"/>
  <c r="I255" i="5" s="1"/>
  <c r="G255" i="5"/>
  <c r="F256" i="5"/>
  <c r="G256" i="5" s="1"/>
  <c r="F257" i="5"/>
  <c r="I257" i="5"/>
  <c r="F258" i="5"/>
  <c r="F259" i="5"/>
  <c r="G259" i="5" s="1"/>
  <c r="F260" i="5"/>
  <c r="I260" i="5"/>
  <c r="F261" i="5"/>
  <c r="F262" i="5"/>
  <c r="G262" i="5"/>
  <c r="I262" i="5"/>
  <c r="F263" i="5"/>
  <c r="F264" i="5"/>
  <c r="G264" i="5" s="1"/>
  <c r="I264" i="5"/>
  <c r="F265" i="5"/>
  <c r="G265" i="5" s="1"/>
  <c r="F266" i="5"/>
  <c r="F267" i="5"/>
  <c r="F268" i="5"/>
  <c r="G268" i="5" s="1"/>
  <c r="F269" i="5"/>
  <c r="G269" i="5"/>
  <c r="I269" i="5"/>
  <c r="F270" i="5"/>
  <c r="G270" i="5" s="1"/>
  <c r="F271" i="5"/>
  <c r="F272" i="5"/>
  <c r="G272" i="5" s="1"/>
  <c r="F273" i="5"/>
  <c r="G273" i="5" s="1"/>
  <c r="I273" i="5"/>
  <c r="F274" i="5"/>
  <c r="G274" i="5" s="1"/>
  <c r="I274" i="5"/>
  <c r="F275" i="5"/>
  <c r="I275" i="5"/>
  <c r="F276" i="5"/>
  <c r="F277" i="5"/>
  <c r="G277" i="5" s="1"/>
  <c r="F278" i="5"/>
  <c r="G278" i="5" s="1"/>
  <c r="I278" i="5"/>
  <c r="F279" i="5"/>
  <c r="I279" i="5" s="1"/>
  <c r="F280" i="5"/>
  <c r="G280" i="5" s="1"/>
  <c r="F281" i="5"/>
  <c r="F282" i="5"/>
  <c r="G282" i="5" s="1"/>
  <c r="F283" i="5"/>
  <c r="F284" i="5"/>
  <c r="I284" i="5" s="1"/>
  <c r="G284" i="5"/>
  <c r="F285" i="5"/>
  <c r="I285" i="5"/>
  <c r="F286" i="5"/>
  <c r="G286" i="5" s="1"/>
  <c r="F287" i="5"/>
  <c r="G287" i="5" s="1"/>
  <c r="F288" i="5"/>
  <c r="F289" i="5"/>
  <c r="G289" i="5" s="1"/>
  <c r="F290" i="5"/>
  <c r="I290" i="5" s="1"/>
  <c r="F291" i="5"/>
  <c r="I291" i="5" s="1"/>
  <c r="F292" i="5"/>
  <c r="I292" i="5"/>
  <c r="M292" i="5"/>
  <c r="F293" i="5"/>
  <c r="G293" i="5" s="1"/>
  <c r="F294" i="5"/>
  <c r="G294" i="5" s="1"/>
  <c r="I294" i="5"/>
  <c r="F295" i="5"/>
  <c r="F296" i="5"/>
  <c r="F297" i="5"/>
  <c r="I297" i="5"/>
  <c r="F298" i="5"/>
  <c r="G298" i="5" s="1"/>
  <c r="I298" i="5"/>
  <c r="F299" i="5"/>
  <c r="I299" i="5" s="1"/>
  <c r="F300" i="5"/>
  <c r="G300" i="5" s="1"/>
  <c r="F301" i="5"/>
  <c r="G301" i="5" s="1"/>
  <c r="H3" i="7"/>
  <c r="D18" i="7" s="1"/>
  <c r="K3" i="7"/>
  <c r="K5" i="7" s="1"/>
  <c r="B4" i="7"/>
  <c r="H14" i="7" s="1"/>
  <c r="R6" i="7"/>
  <c r="G7" i="7"/>
  <c r="B7" i="7" s="1"/>
  <c r="K96" i="7" s="1"/>
  <c r="B8" i="7"/>
  <c r="L16" i="7" s="1"/>
  <c r="B9" i="7"/>
  <c r="N29" i="7" s="1"/>
  <c r="W14" i="7"/>
  <c r="W15" i="7"/>
  <c r="W16" i="7"/>
  <c r="W17" i="7"/>
  <c r="W18" i="7"/>
  <c r="W19" i="7"/>
  <c r="W20" i="7"/>
  <c r="W21" i="7"/>
  <c r="W22" i="7"/>
  <c r="W23" i="7"/>
  <c r="W24" i="7"/>
  <c r="W25" i="7"/>
  <c r="W26" i="7"/>
  <c r="W27" i="7"/>
  <c r="W28" i="7"/>
  <c r="W29" i="7"/>
  <c r="W30" i="7"/>
  <c r="W31" i="7"/>
  <c r="W32" i="7"/>
  <c r="W33" i="7"/>
  <c r="W34" i="7"/>
  <c r="I35" i="7"/>
  <c r="W35" i="7"/>
  <c r="W36" i="7"/>
  <c r="W37" i="7"/>
  <c r="W38" i="7"/>
  <c r="W39" i="7"/>
  <c r="W40" i="7"/>
  <c r="L41" i="7"/>
  <c r="W41" i="7"/>
  <c r="W42" i="7"/>
  <c r="W43" i="7"/>
  <c r="W44" i="7"/>
  <c r="W45" i="7"/>
  <c r="W46" i="7"/>
  <c r="W47" i="7"/>
  <c r="W48" i="7"/>
  <c r="W49" i="7"/>
  <c r="W50" i="7"/>
  <c r="W51" i="7"/>
  <c r="W52" i="7"/>
  <c r="I53" i="7"/>
  <c r="W53" i="7"/>
  <c r="W54" i="7"/>
  <c r="W55" i="7"/>
  <c r="W56" i="7"/>
  <c r="W57" i="7"/>
  <c r="W58" i="7"/>
  <c r="W59" i="7"/>
  <c r="W60" i="7"/>
  <c r="W61" i="7"/>
  <c r="H62" i="7"/>
  <c r="W62" i="7"/>
  <c r="W63" i="7"/>
  <c r="W64" i="7"/>
  <c r="I65" i="7"/>
  <c r="W65" i="7"/>
  <c r="W66" i="7"/>
  <c r="W67" i="7"/>
  <c r="W68" i="7"/>
  <c r="I69" i="7"/>
  <c r="W69" i="7"/>
  <c r="H70" i="7"/>
  <c r="W70" i="7"/>
  <c r="L71" i="7"/>
  <c r="W71" i="7"/>
  <c r="I72" i="7"/>
  <c r="W72" i="7"/>
  <c r="I73" i="7"/>
  <c r="W73" i="7"/>
  <c r="H74" i="7"/>
  <c r="W74" i="7"/>
  <c r="W75" i="7"/>
  <c r="H76" i="7"/>
  <c r="M76" i="7"/>
  <c r="W76" i="7"/>
  <c r="H77" i="7"/>
  <c r="I77" i="7"/>
  <c r="L77" i="7"/>
  <c r="W77" i="7"/>
  <c r="H78" i="7"/>
  <c r="W78" i="7"/>
  <c r="W79" i="7"/>
  <c r="W80" i="7"/>
  <c r="I81" i="7"/>
  <c r="L81" i="7"/>
  <c r="W81" i="7"/>
  <c r="H82" i="7"/>
  <c r="W82" i="7"/>
  <c r="I83" i="7"/>
  <c r="W83" i="7"/>
  <c r="H84" i="7"/>
  <c r="I84" i="7"/>
  <c r="W84" i="7"/>
  <c r="H85" i="7"/>
  <c r="I85" i="7"/>
  <c r="W85" i="7"/>
  <c r="H86" i="7"/>
  <c r="I86" i="7"/>
  <c r="W86" i="7"/>
  <c r="H87" i="7"/>
  <c r="I87" i="7"/>
  <c r="W87" i="7"/>
  <c r="H88" i="7"/>
  <c r="I88" i="7"/>
  <c r="W88" i="7"/>
  <c r="H89" i="7"/>
  <c r="I89" i="7"/>
  <c r="W89" i="7"/>
  <c r="H90" i="7"/>
  <c r="I90" i="7"/>
  <c r="W90" i="7"/>
  <c r="H91" i="7"/>
  <c r="I91" i="7"/>
  <c r="W91" i="7"/>
  <c r="H92" i="7"/>
  <c r="I92" i="7"/>
  <c r="M92" i="7"/>
  <c r="W92" i="7"/>
  <c r="H93" i="7"/>
  <c r="I93" i="7"/>
  <c r="L93" i="7"/>
  <c r="W93" i="7"/>
  <c r="H94" i="7"/>
  <c r="I94" i="7"/>
  <c r="W94" i="7"/>
  <c r="H95" i="7"/>
  <c r="I95" i="7"/>
  <c r="W95" i="7"/>
  <c r="H96" i="7"/>
  <c r="I96" i="7"/>
  <c r="W96" i="7"/>
  <c r="H97" i="7"/>
  <c r="I97" i="7"/>
  <c r="W97" i="7"/>
  <c r="H98" i="7"/>
  <c r="I98" i="7"/>
  <c r="W98" i="7"/>
  <c r="H99" i="7"/>
  <c r="I99" i="7"/>
  <c r="W99" i="7"/>
  <c r="H100" i="7"/>
  <c r="I100" i="7"/>
  <c r="M100" i="7"/>
  <c r="W100" i="7"/>
  <c r="H101" i="7"/>
  <c r="I101" i="7"/>
  <c r="W101" i="7"/>
  <c r="H102" i="7"/>
  <c r="I102" i="7"/>
  <c r="W102" i="7"/>
  <c r="H103" i="7"/>
  <c r="I103" i="7"/>
  <c r="W103" i="7"/>
  <c r="H104" i="7"/>
  <c r="I104" i="7"/>
  <c r="M104" i="7"/>
  <c r="W104" i="7"/>
  <c r="H105" i="7"/>
  <c r="I105" i="7"/>
  <c r="W105" i="7"/>
  <c r="H106" i="7"/>
  <c r="I106" i="7"/>
  <c r="W106" i="7"/>
  <c r="H107" i="7"/>
  <c r="I107" i="7"/>
  <c r="W107" i="7"/>
  <c r="H108" i="7"/>
  <c r="I108" i="7"/>
  <c r="W108" i="7"/>
  <c r="H109" i="7"/>
  <c r="I109" i="7"/>
  <c r="W109" i="7"/>
  <c r="H110" i="7"/>
  <c r="I110" i="7"/>
  <c r="W110" i="7"/>
  <c r="H111" i="7"/>
  <c r="I111" i="7"/>
  <c r="W111" i="7"/>
  <c r="H112" i="7"/>
  <c r="I112" i="7"/>
  <c r="W112" i="7"/>
  <c r="D113" i="7"/>
  <c r="H113" i="7"/>
  <c r="I113" i="7"/>
  <c r="W113" i="7"/>
  <c r="E114" i="7"/>
  <c r="H114" i="7"/>
  <c r="I114" i="7"/>
  <c r="W114" i="7"/>
  <c r="D115" i="7"/>
  <c r="H115" i="7"/>
  <c r="I115" i="7"/>
  <c r="W115" i="7"/>
  <c r="H116" i="7"/>
  <c r="I116" i="7"/>
  <c r="W116" i="7"/>
  <c r="D117" i="7"/>
  <c r="E117" i="7"/>
  <c r="H117" i="7"/>
  <c r="I117" i="7"/>
  <c r="W117" i="7"/>
  <c r="D118" i="7"/>
  <c r="H118" i="7"/>
  <c r="I118" i="7"/>
  <c r="M118" i="7"/>
  <c r="W118" i="7"/>
  <c r="E119" i="7"/>
  <c r="H119" i="7"/>
  <c r="I119" i="7"/>
  <c r="W119" i="7"/>
  <c r="E120" i="7"/>
  <c r="H120" i="7"/>
  <c r="I120" i="7"/>
  <c r="W120" i="7"/>
  <c r="H121" i="7"/>
  <c r="I121" i="7"/>
  <c r="M121" i="7"/>
  <c r="W121" i="7"/>
  <c r="D122" i="7"/>
  <c r="E122" i="7"/>
  <c r="H122" i="7"/>
  <c r="I122" i="7"/>
  <c r="W122" i="7"/>
  <c r="H123" i="7"/>
  <c r="I123" i="7"/>
  <c r="L123" i="7"/>
  <c r="W123" i="7"/>
  <c r="D124" i="7"/>
  <c r="H124" i="7"/>
  <c r="I124" i="7"/>
  <c r="W124" i="7"/>
  <c r="D125" i="7"/>
  <c r="H125" i="7"/>
  <c r="I125" i="7"/>
  <c r="W125" i="7"/>
  <c r="E126" i="7"/>
  <c r="H126" i="7"/>
  <c r="I126" i="7"/>
  <c r="W126" i="7"/>
  <c r="D127" i="7"/>
  <c r="H127" i="7"/>
  <c r="I127" i="7"/>
  <c r="W127" i="7"/>
  <c r="H128" i="7"/>
  <c r="I128" i="7"/>
  <c r="L128" i="7"/>
  <c r="W128" i="7"/>
  <c r="D129" i="7"/>
  <c r="H129" i="7"/>
  <c r="I129" i="7"/>
  <c r="W129" i="7"/>
  <c r="D130" i="7"/>
  <c r="H130" i="7"/>
  <c r="I130" i="7"/>
  <c r="W130" i="7"/>
  <c r="E131" i="7"/>
  <c r="H131" i="7"/>
  <c r="I131" i="7"/>
  <c r="W131" i="7"/>
  <c r="D132" i="7"/>
  <c r="H132" i="7"/>
  <c r="I132" i="7"/>
  <c r="W132" i="7"/>
  <c r="H133" i="7"/>
  <c r="I133" i="7"/>
  <c r="W133" i="7"/>
  <c r="D134" i="7"/>
  <c r="H134" i="7"/>
  <c r="I134" i="7"/>
  <c r="W134" i="7"/>
  <c r="D135" i="7"/>
  <c r="H135" i="7"/>
  <c r="I135" i="7"/>
  <c r="W135" i="7"/>
  <c r="H136" i="7"/>
  <c r="I136" i="7"/>
  <c r="W136" i="7"/>
  <c r="D137" i="7"/>
  <c r="H137" i="7"/>
  <c r="I137" i="7"/>
  <c r="L137" i="7"/>
  <c r="W137" i="7"/>
  <c r="H138" i="7"/>
  <c r="I138" i="7"/>
  <c r="W138" i="7"/>
  <c r="D139" i="7"/>
  <c r="H139" i="7"/>
  <c r="I139" i="7"/>
  <c r="W139" i="7"/>
  <c r="E140" i="7"/>
  <c r="H140" i="7"/>
  <c r="I140" i="7"/>
  <c r="L140" i="7"/>
  <c r="W140" i="7"/>
  <c r="E141" i="7"/>
  <c r="H141" i="7"/>
  <c r="I141" i="7"/>
  <c r="W141" i="7"/>
  <c r="E142" i="7"/>
  <c r="H142" i="7"/>
  <c r="I142" i="7"/>
  <c r="W142" i="7"/>
  <c r="D143" i="7"/>
  <c r="H143" i="7"/>
  <c r="I143" i="7"/>
  <c r="W143" i="7"/>
  <c r="D144" i="7"/>
  <c r="H144" i="7"/>
  <c r="I144" i="7"/>
  <c r="W144" i="7"/>
  <c r="E145" i="7"/>
  <c r="H145" i="7"/>
  <c r="I145" i="7"/>
  <c r="M145" i="7"/>
  <c r="W145" i="7"/>
  <c r="D146" i="7"/>
  <c r="H146" i="7"/>
  <c r="I146" i="7"/>
  <c r="W146" i="7"/>
  <c r="E147" i="7"/>
  <c r="H147" i="7"/>
  <c r="I147" i="7"/>
  <c r="J147" i="7"/>
  <c r="K147" i="7"/>
  <c r="W147" i="7"/>
  <c r="D148" i="7"/>
  <c r="H148" i="7"/>
  <c r="I148" i="7"/>
  <c r="W148" i="7"/>
  <c r="D149" i="7"/>
  <c r="H149" i="7"/>
  <c r="I149" i="7"/>
  <c r="W149" i="7"/>
  <c r="E150" i="7"/>
  <c r="H150" i="7"/>
  <c r="I150" i="7"/>
  <c r="J150" i="7"/>
  <c r="K150" i="7"/>
  <c r="M150" i="7"/>
  <c r="W150" i="7"/>
  <c r="D151" i="7"/>
  <c r="H151" i="7"/>
  <c r="I151" i="7"/>
  <c r="J151" i="7"/>
  <c r="K151" i="7"/>
  <c r="W151" i="7"/>
  <c r="D152" i="7"/>
  <c r="E152" i="7"/>
  <c r="H152" i="7"/>
  <c r="I152" i="7"/>
  <c r="K152" i="7"/>
  <c r="W152" i="7"/>
  <c r="H153" i="7"/>
  <c r="I153" i="7"/>
  <c r="K153" i="7"/>
  <c r="M153" i="7"/>
  <c r="W153" i="7"/>
  <c r="H154" i="7"/>
  <c r="I154" i="7"/>
  <c r="J154" i="7"/>
  <c r="K154" i="7"/>
  <c r="W154" i="7"/>
  <c r="D155" i="7"/>
  <c r="H155" i="7"/>
  <c r="I155" i="7"/>
  <c r="J155" i="7"/>
  <c r="K155" i="7"/>
  <c r="L155" i="7"/>
  <c r="W155" i="7"/>
  <c r="D156" i="7"/>
  <c r="H156" i="7"/>
  <c r="I156" i="7"/>
  <c r="K156" i="7"/>
  <c r="W156" i="7"/>
  <c r="E157" i="7"/>
  <c r="H157" i="7"/>
  <c r="I157" i="7"/>
  <c r="K157" i="7"/>
  <c r="W157" i="7"/>
  <c r="E158" i="7"/>
  <c r="H158" i="7"/>
  <c r="I158" i="7"/>
  <c r="J158" i="7"/>
  <c r="K158" i="7"/>
  <c r="L158" i="7"/>
  <c r="W158" i="7"/>
  <c r="E159" i="7"/>
  <c r="H159" i="7"/>
  <c r="I159" i="7"/>
  <c r="J159" i="7"/>
  <c r="K159" i="7"/>
  <c r="L159" i="7"/>
  <c r="W159" i="7"/>
  <c r="H160" i="7"/>
  <c r="I160" i="7"/>
  <c r="J160" i="7"/>
  <c r="K160" i="7"/>
  <c r="W160" i="7"/>
  <c r="H161" i="7"/>
  <c r="I161" i="7"/>
  <c r="J161" i="7"/>
  <c r="K161" i="7"/>
  <c r="W161" i="7"/>
  <c r="E162" i="7"/>
  <c r="H162" i="7"/>
  <c r="I162" i="7"/>
  <c r="J162" i="7"/>
  <c r="K162" i="7"/>
  <c r="W162" i="7"/>
  <c r="E163" i="7"/>
  <c r="H163" i="7"/>
  <c r="I163" i="7"/>
  <c r="J163" i="7"/>
  <c r="K163" i="7"/>
  <c r="L163" i="7"/>
  <c r="W163" i="7"/>
  <c r="D164" i="7"/>
  <c r="E164" i="7"/>
  <c r="H164" i="7"/>
  <c r="I164" i="7"/>
  <c r="J164" i="7"/>
  <c r="K164" i="7"/>
  <c r="M164" i="7"/>
  <c r="W164" i="7"/>
  <c r="D165" i="7"/>
  <c r="E165" i="7"/>
  <c r="H165" i="7"/>
  <c r="I165" i="7"/>
  <c r="J165" i="7"/>
  <c r="K165" i="7"/>
  <c r="L165" i="7"/>
  <c r="W165" i="7"/>
  <c r="D166" i="7"/>
  <c r="E166" i="7"/>
  <c r="H166" i="7"/>
  <c r="I166" i="7"/>
  <c r="J166" i="7"/>
  <c r="K166" i="7"/>
  <c r="W166" i="7"/>
  <c r="D167" i="7"/>
  <c r="E167" i="7"/>
  <c r="H167" i="7"/>
  <c r="I167" i="7"/>
  <c r="J167" i="7"/>
  <c r="K167" i="7"/>
  <c r="L167" i="7"/>
  <c r="W167" i="7"/>
  <c r="D168" i="7"/>
  <c r="E168" i="7"/>
  <c r="H168" i="7"/>
  <c r="I168" i="7"/>
  <c r="J168" i="7"/>
  <c r="K168" i="7"/>
  <c r="M168" i="7"/>
  <c r="W168" i="7"/>
  <c r="D169" i="7"/>
  <c r="E169" i="7"/>
  <c r="H169" i="7"/>
  <c r="I169" i="7"/>
  <c r="J169" i="7"/>
  <c r="K169" i="7"/>
  <c r="L169" i="7"/>
  <c r="W169" i="7"/>
  <c r="D170" i="7"/>
  <c r="E170" i="7"/>
  <c r="H170" i="7"/>
  <c r="I170" i="7"/>
  <c r="J170" i="7"/>
  <c r="K170" i="7"/>
  <c r="W170" i="7"/>
  <c r="D171" i="7"/>
  <c r="E171" i="7"/>
  <c r="H171" i="7"/>
  <c r="I171" i="7"/>
  <c r="J171" i="7"/>
  <c r="K171" i="7"/>
  <c r="L171" i="7"/>
  <c r="W171" i="7"/>
  <c r="D172" i="7"/>
  <c r="E172" i="7"/>
  <c r="H172" i="7"/>
  <c r="I172" i="7"/>
  <c r="J172" i="7"/>
  <c r="K172" i="7"/>
  <c r="M172" i="7"/>
  <c r="W172" i="7"/>
  <c r="D173" i="7"/>
  <c r="E173" i="7"/>
  <c r="H173" i="7"/>
  <c r="I173" i="7"/>
  <c r="J173" i="7"/>
  <c r="K173" i="7"/>
  <c r="L173" i="7"/>
  <c r="W173" i="7"/>
  <c r="D174" i="7"/>
  <c r="E174" i="7"/>
  <c r="H174" i="7"/>
  <c r="I174" i="7"/>
  <c r="J174" i="7"/>
  <c r="K174" i="7"/>
  <c r="W174" i="7"/>
  <c r="D175" i="7"/>
  <c r="E175" i="7"/>
  <c r="H175" i="7"/>
  <c r="I175" i="7"/>
  <c r="J175" i="7"/>
  <c r="K175" i="7"/>
  <c r="L175" i="7"/>
  <c r="W175" i="7"/>
  <c r="D176" i="7"/>
  <c r="E176" i="7"/>
  <c r="H176" i="7"/>
  <c r="I176" i="7"/>
  <c r="J176" i="7"/>
  <c r="K176" i="7"/>
  <c r="M176" i="7"/>
  <c r="W176" i="7"/>
  <c r="D177" i="7"/>
  <c r="E177" i="7"/>
  <c r="H177" i="7"/>
  <c r="I177" i="7"/>
  <c r="J177" i="7"/>
  <c r="K177" i="7"/>
  <c r="L177" i="7"/>
  <c r="W177" i="7"/>
  <c r="D178" i="7"/>
  <c r="E178" i="7"/>
  <c r="H178" i="7"/>
  <c r="I178" i="7"/>
  <c r="J178" i="7"/>
  <c r="K178" i="7"/>
  <c r="W178" i="7"/>
  <c r="D179" i="7"/>
  <c r="E179" i="7"/>
  <c r="H179" i="7"/>
  <c r="I179" i="7"/>
  <c r="J179" i="7"/>
  <c r="K179" i="7"/>
  <c r="L179" i="7"/>
  <c r="W179" i="7"/>
  <c r="D180" i="7"/>
  <c r="E180" i="7"/>
  <c r="H180" i="7"/>
  <c r="I180" i="7"/>
  <c r="J180" i="7"/>
  <c r="K180" i="7"/>
  <c r="M180" i="7"/>
  <c r="W180" i="7"/>
  <c r="D181" i="7"/>
  <c r="E181" i="7"/>
  <c r="H181" i="7"/>
  <c r="I181" i="7"/>
  <c r="J181" i="7"/>
  <c r="K181" i="7"/>
  <c r="L181" i="7"/>
  <c r="W181" i="7"/>
  <c r="D182" i="7"/>
  <c r="E182" i="7"/>
  <c r="H182" i="7"/>
  <c r="I182" i="7"/>
  <c r="J182" i="7"/>
  <c r="K182" i="7"/>
  <c r="W182" i="7"/>
  <c r="D183" i="7"/>
  <c r="E183" i="7"/>
  <c r="H183" i="7"/>
  <c r="I183" i="7"/>
  <c r="J183" i="7"/>
  <c r="K183" i="7"/>
  <c r="L183" i="7"/>
  <c r="W183" i="7"/>
  <c r="D184" i="7"/>
  <c r="E184" i="7"/>
  <c r="H184" i="7"/>
  <c r="I184" i="7"/>
  <c r="J184" i="7"/>
  <c r="K184" i="7"/>
  <c r="M184" i="7"/>
  <c r="W184" i="7"/>
  <c r="D185" i="7"/>
  <c r="E185" i="7"/>
  <c r="H185" i="7"/>
  <c r="I185" i="7"/>
  <c r="J185" i="7"/>
  <c r="K185" i="7"/>
  <c r="L185" i="7"/>
  <c r="W185" i="7"/>
  <c r="D186" i="7"/>
  <c r="E186" i="7"/>
  <c r="H186" i="7"/>
  <c r="I186" i="7"/>
  <c r="J186" i="7"/>
  <c r="K186" i="7"/>
  <c r="W186" i="7"/>
  <c r="D187" i="7"/>
  <c r="E187" i="7"/>
  <c r="H187" i="7"/>
  <c r="I187" i="7"/>
  <c r="J187" i="7"/>
  <c r="K187" i="7"/>
  <c r="L187" i="7"/>
  <c r="W187" i="7"/>
  <c r="D188" i="7"/>
  <c r="E188" i="7"/>
  <c r="H188" i="7"/>
  <c r="I188" i="7"/>
  <c r="J188" i="7"/>
  <c r="K188" i="7"/>
  <c r="M188" i="7"/>
  <c r="W188" i="7"/>
  <c r="D189" i="7"/>
  <c r="E189" i="7"/>
  <c r="H189" i="7"/>
  <c r="I189" i="7"/>
  <c r="J189" i="7"/>
  <c r="K189" i="7"/>
  <c r="L189" i="7"/>
  <c r="W189" i="7"/>
  <c r="D190" i="7"/>
  <c r="E190" i="7"/>
  <c r="H190" i="7"/>
  <c r="I190" i="7"/>
  <c r="J190" i="7"/>
  <c r="K190" i="7"/>
  <c r="W190" i="7"/>
  <c r="D191" i="7"/>
  <c r="E191" i="7"/>
  <c r="H191" i="7"/>
  <c r="I191" i="7"/>
  <c r="J191" i="7"/>
  <c r="K191" i="7"/>
  <c r="L191" i="7"/>
  <c r="W191" i="7"/>
  <c r="D192" i="7"/>
  <c r="E192" i="7"/>
  <c r="H192" i="7"/>
  <c r="I192" i="7"/>
  <c r="J192" i="7"/>
  <c r="K192" i="7"/>
  <c r="M192" i="7"/>
  <c r="W192" i="7"/>
  <c r="D193" i="7"/>
  <c r="E193" i="7"/>
  <c r="H193" i="7"/>
  <c r="I193" i="7"/>
  <c r="J193" i="7"/>
  <c r="K193" i="7"/>
  <c r="L193" i="7"/>
  <c r="W193" i="7"/>
  <c r="D194" i="7"/>
  <c r="E194" i="7"/>
  <c r="H194" i="7"/>
  <c r="I194" i="7"/>
  <c r="J194" i="7"/>
  <c r="K194" i="7"/>
  <c r="W194" i="7"/>
  <c r="D195" i="7"/>
  <c r="E195" i="7"/>
  <c r="H195" i="7"/>
  <c r="I195" i="7"/>
  <c r="J195" i="7"/>
  <c r="K195" i="7"/>
  <c r="L195" i="7"/>
  <c r="W195" i="7"/>
  <c r="D196" i="7"/>
  <c r="E196" i="7"/>
  <c r="H196" i="7"/>
  <c r="I196" i="7"/>
  <c r="J196" i="7"/>
  <c r="K196" i="7"/>
  <c r="M196" i="7"/>
  <c r="W196" i="7"/>
  <c r="D197" i="7"/>
  <c r="E197" i="7"/>
  <c r="H197" i="7"/>
  <c r="I197" i="7"/>
  <c r="J197" i="7"/>
  <c r="K197" i="7"/>
  <c r="L197" i="7"/>
  <c r="W197" i="7"/>
  <c r="D198" i="7"/>
  <c r="E198" i="7"/>
  <c r="H198" i="7"/>
  <c r="I198" i="7"/>
  <c r="J198" i="7"/>
  <c r="K198" i="7"/>
  <c r="W198" i="7"/>
  <c r="D199" i="7"/>
  <c r="E199" i="7"/>
  <c r="H199" i="7"/>
  <c r="I199" i="7"/>
  <c r="J199" i="7"/>
  <c r="K199" i="7"/>
  <c r="L199" i="7"/>
  <c r="M199" i="7"/>
  <c r="W199" i="7"/>
  <c r="D200" i="7"/>
  <c r="E200" i="7"/>
  <c r="H200" i="7"/>
  <c r="I200" i="7"/>
  <c r="J200" i="7"/>
  <c r="K200" i="7"/>
  <c r="L200" i="7"/>
  <c r="M200" i="7"/>
  <c r="W200" i="7"/>
  <c r="D201" i="7"/>
  <c r="E201" i="7"/>
  <c r="H201" i="7"/>
  <c r="I201" i="7"/>
  <c r="J201" i="7"/>
  <c r="K201" i="7"/>
  <c r="L201" i="7"/>
  <c r="M201" i="7"/>
  <c r="W201" i="7"/>
  <c r="D202" i="7"/>
  <c r="E202" i="7"/>
  <c r="H202" i="7"/>
  <c r="I202" i="7"/>
  <c r="J202" i="7"/>
  <c r="K202" i="7"/>
  <c r="L202" i="7"/>
  <c r="M202" i="7"/>
  <c r="W202" i="7"/>
  <c r="D203" i="7"/>
  <c r="E203" i="7"/>
  <c r="H203" i="7"/>
  <c r="I203" i="7"/>
  <c r="J203" i="7"/>
  <c r="K203" i="7"/>
  <c r="L203" i="7"/>
  <c r="M203" i="7"/>
  <c r="W203" i="7"/>
  <c r="D204" i="7"/>
  <c r="E204" i="7"/>
  <c r="H204" i="7"/>
  <c r="I204" i="7"/>
  <c r="J204" i="7"/>
  <c r="K204" i="7"/>
  <c r="L204" i="7"/>
  <c r="M204" i="7"/>
  <c r="W204" i="7"/>
  <c r="D205" i="7"/>
  <c r="E205" i="7"/>
  <c r="H205" i="7"/>
  <c r="I205" i="7"/>
  <c r="J205" i="7"/>
  <c r="K205" i="7"/>
  <c r="L205" i="7"/>
  <c r="M205" i="7"/>
  <c r="W205" i="7"/>
  <c r="D206" i="7"/>
  <c r="E206" i="7"/>
  <c r="H206" i="7"/>
  <c r="I206" i="7"/>
  <c r="J206" i="7"/>
  <c r="K206" i="7"/>
  <c r="L206" i="7"/>
  <c r="M206" i="7"/>
  <c r="W206" i="7"/>
  <c r="D207" i="7"/>
  <c r="E207" i="7"/>
  <c r="H207" i="7"/>
  <c r="I207" i="7"/>
  <c r="J207" i="7"/>
  <c r="K207" i="7"/>
  <c r="L207" i="7"/>
  <c r="M207" i="7"/>
  <c r="W207" i="7"/>
  <c r="D208" i="7"/>
  <c r="E208" i="7"/>
  <c r="H208" i="7"/>
  <c r="I208" i="7"/>
  <c r="J208" i="7"/>
  <c r="K208" i="7"/>
  <c r="L208" i="7"/>
  <c r="M208" i="7"/>
  <c r="W208" i="7"/>
  <c r="D209" i="7"/>
  <c r="E209" i="7"/>
  <c r="H209" i="7"/>
  <c r="I209" i="7"/>
  <c r="J209" i="7"/>
  <c r="K209" i="7"/>
  <c r="L209" i="7"/>
  <c r="M209" i="7"/>
  <c r="W209" i="7"/>
  <c r="D210" i="7"/>
  <c r="E210" i="7"/>
  <c r="H210" i="7"/>
  <c r="I210" i="7"/>
  <c r="J210" i="7"/>
  <c r="K210" i="7"/>
  <c r="L210" i="7"/>
  <c r="M210" i="7"/>
  <c r="W210" i="7"/>
  <c r="D211" i="7"/>
  <c r="E211" i="7"/>
  <c r="H211" i="7"/>
  <c r="I211" i="7"/>
  <c r="J211" i="7"/>
  <c r="K211" i="7"/>
  <c r="L211" i="7"/>
  <c r="M211" i="7"/>
  <c r="W211" i="7"/>
  <c r="D212" i="7"/>
  <c r="E212" i="7"/>
  <c r="H212" i="7"/>
  <c r="I212" i="7"/>
  <c r="J212" i="7"/>
  <c r="K212" i="7"/>
  <c r="L212" i="7"/>
  <c r="M212" i="7"/>
  <c r="W212" i="7"/>
  <c r="D213" i="7"/>
  <c r="E213" i="7"/>
  <c r="H213" i="7"/>
  <c r="I213" i="7"/>
  <c r="J213" i="7"/>
  <c r="K213" i="7"/>
  <c r="L213" i="7"/>
  <c r="M213" i="7"/>
  <c r="W213" i="7"/>
  <c r="D214" i="7"/>
  <c r="E214" i="7"/>
  <c r="H214" i="7"/>
  <c r="I214" i="7"/>
  <c r="J214" i="7"/>
  <c r="K214" i="7"/>
  <c r="L214" i="7"/>
  <c r="M214" i="7"/>
  <c r="W214" i="7"/>
  <c r="D215" i="7"/>
  <c r="E215" i="7"/>
  <c r="H215" i="7"/>
  <c r="I215" i="7"/>
  <c r="J215" i="7"/>
  <c r="K215" i="7"/>
  <c r="L215" i="7"/>
  <c r="M215" i="7"/>
  <c r="W215" i="7"/>
  <c r="D216" i="7"/>
  <c r="E216" i="7"/>
  <c r="H216" i="7"/>
  <c r="I216" i="7"/>
  <c r="J216" i="7"/>
  <c r="K216" i="7"/>
  <c r="L216" i="7"/>
  <c r="M216" i="7"/>
  <c r="W216" i="7"/>
  <c r="D217" i="7"/>
  <c r="E217" i="7"/>
  <c r="H217" i="7"/>
  <c r="I217" i="7"/>
  <c r="J217" i="7"/>
  <c r="K217" i="7"/>
  <c r="L217" i="7"/>
  <c r="M217" i="7"/>
  <c r="W217" i="7"/>
  <c r="D218" i="7"/>
  <c r="E218" i="7"/>
  <c r="H218" i="7"/>
  <c r="I218" i="7"/>
  <c r="J218" i="7"/>
  <c r="K218" i="7"/>
  <c r="L218" i="7"/>
  <c r="M218" i="7"/>
  <c r="W218" i="7"/>
  <c r="D219" i="7"/>
  <c r="E219" i="7"/>
  <c r="H219" i="7"/>
  <c r="I219" i="7"/>
  <c r="J219" i="7"/>
  <c r="K219" i="7"/>
  <c r="L219" i="7"/>
  <c r="M219" i="7"/>
  <c r="W219" i="7"/>
  <c r="D220" i="7"/>
  <c r="E220" i="7"/>
  <c r="H220" i="7"/>
  <c r="I220" i="7"/>
  <c r="J220" i="7"/>
  <c r="K220" i="7"/>
  <c r="L220" i="7"/>
  <c r="M220" i="7"/>
  <c r="W220" i="7"/>
  <c r="D221" i="7"/>
  <c r="E221" i="7"/>
  <c r="H221" i="7"/>
  <c r="I221" i="7"/>
  <c r="J221" i="7"/>
  <c r="K221" i="7"/>
  <c r="L221" i="7"/>
  <c r="M221" i="7"/>
  <c r="W221" i="7"/>
  <c r="D222" i="7"/>
  <c r="E222" i="7"/>
  <c r="H222" i="7"/>
  <c r="I222" i="7"/>
  <c r="J222" i="7"/>
  <c r="K222" i="7"/>
  <c r="L222" i="7"/>
  <c r="M222" i="7"/>
  <c r="W222" i="7"/>
  <c r="D223" i="7"/>
  <c r="E223" i="7"/>
  <c r="H223" i="7"/>
  <c r="I223" i="7"/>
  <c r="J223" i="7"/>
  <c r="K223" i="7"/>
  <c r="L223" i="7"/>
  <c r="M223" i="7"/>
  <c r="W223" i="7"/>
  <c r="D224" i="7"/>
  <c r="E224" i="7"/>
  <c r="H224" i="7"/>
  <c r="I224" i="7"/>
  <c r="J224" i="7"/>
  <c r="K224" i="7"/>
  <c r="L224" i="7"/>
  <c r="M224" i="7"/>
  <c r="W224" i="7"/>
  <c r="D225" i="7"/>
  <c r="E225" i="7"/>
  <c r="H225" i="7"/>
  <c r="I225" i="7"/>
  <c r="J225" i="7"/>
  <c r="K225" i="7"/>
  <c r="L225" i="7"/>
  <c r="M225" i="7"/>
  <c r="W225" i="7"/>
  <c r="D226" i="7"/>
  <c r="E226" i="7"/>
  <c r="H226" i="7"/>
  <c r="I226" i="7"/>
  <c r="J226" i="7"/>
  <c r="K226" i="7"/>
  <c r="L226" i="7"/>
  <c r="M226" i="7"/>
  <c r="W226" i="7"/>
  <c r="D227" i="7"/>
  <c r="E227" i="7"/>
  <c r="H227" i="7"/>
  <c r="I227" i="7"/>
  <c r="J227" i="7"/>
  <c r="K227" i="7"/>
  <c r="L227" i="7"/>
  <c r="M227" i="7"/>
  <c r="W227" i="7"/>
  <c r="D228" i="7"/>
  <c r="E228" i="7"/>
  <c r="H228" i="7"/>
  <c r="I228" i="7"/>
  <c r="J228" i="7"/>
  <c r="K228" i="7"/>
  <c r="L228" i="7"/>
  <c r="M228" i="7"/>
  <c r="W228" i="7"/>
  <c r="D229" i="7"/>
  <c r="E229" i="7"/>
  <c r="H229" i="7"/>
  <c r="I229" i="7"/>
  <c r="J229" i="7"/>
  <c r="K229" i="7"/>
  <c r="L229" i="7"/>
  <c r="M229" i="7"/>
  <c r="W229" i="7"/>
  <c r="D230" i="7"/>
  <c r="E230" i="7"/>
  <c r="H230" i="7"/>
  <c r="I230" i="7"/>
  <c r="J230" i="7"/>
  <c r="K230" i="7"/>
  <c r="L230" i="7"/>
  <c r="M230" i="7"/>
  <c r="W230" i="7"/>
  <c r="D231" i="7"/>
  <c r="E231" i="7"/>
  <c r="H231" i="7"/>
  <c r="I231" i="7"/>
  <c r="J231" i="7"/>
  <c r="K231" i="7"/>
  <c r="L231" i="7"/>
  <c r="M231" i="7"/>
  <c r="W231" i="7"/>
  <c r="D232" i="7"/>
  <c r="E232" i="7"/>
  <c r="H232" i="7"/>
  <c r="I232" i="7"/>
  <c r="J232" i="7"/>
  <c r="K232" i="7"/>
  <c r="L232" i="7"/>
  <c r="M232" i="7"/>
  <c r="W232" i="7"/>
  <c r="D233" i="7"/>
  <c r="E233" i="7"/>
  <c r="H233" i="7"/>
  <c r="I233" i="7"/>
  <c r="J233" i="7"/>
  <c r="K233" i="7"/>
  <c r="L233" i="7"/>
  <c r="M233" i="7"/>
  <c r="W233" i="7"/>
  <c r="D234" i="7"/>
  <c r="E234" i="7"/>
  <c r="H234" i="7"/>
  <c r="I234" i="7"/>
  <c r="J234" i="7"/>
  <c r="K234" i="7"/>
  <c r="L234" i="7"/>
  <c r="M234" i="7"/>
  <c r="W234" i="7"/>
  <c r="D235" i="7"/>
  <c r="E235" i="7"/>
  <c r="H235" i="7"/>
  <c r="I235" i="7"/>
  <c r="J235" i="7"/>
  <c r="K235" i="7"/>
  <c r="L235" i="7"/>
  <c r="M235" i="7"/>
  <c r="W235" i="7"/>
  <c r="D236" i="7"/>
  <c r="E236" i="7"/>
  <c r="H236" i="7"/>
  <c r="I236" i="7"/>
  <c r="J236" i="7"/>
  <c r="K236" i="7"/>
  <c r="L236" i="7"/>
  <c r="M236" i="7"/>
  <c r="W236" i="7"/>
  <c r="D237" i="7"/>
  <c r="E237" i="7"/>
  <c r="H237" i="7"/>
  <c r="I237" i="7"/>
  <c r="J237" i="7"/>
  <c r="K237" i="7"/>
  <c r="L237" i="7"/>
  <c r="M237" i="7"/>
  <c r="W237" i="7"/>
  <c r="D238" i="7"/>
  <c r="E238" i="7"/>
  <c r="H238" i="7"/>
  <c r="I238" i="7"/>
  <c r="J238" i="7"/>
  <c r="K238" i="7"/>
  <c r="L238" i="7"/>
  <c r="M238" i="7"/>
  <c r="W238" i="7"/>
  <c r="D239" i="7"/>
  <c r="E239" i="7"/>
  <c r="H239" i="7"/>
  <c r="I239" i="7"/>
  <c r="J239" i="7"/>
  <c r="K239" i="7"/>
  <c r="L239" i="7"/>
  <c r="M239" i="7"/>
  <c r="W239" i="7"/>
  <c r="D240" i="7"/>
  <c r="E240" i="7"/>
  <c r="H240" i="7"/>
  <c r="I240" i="7"/>
  <c r="J240" i="7"/>
  <c r="K240" i="7"/>
  <c r="L240" i="7"/>
  <c r="M240" i="7"/>
  <c r="W240" i="7"/>
  <c r="D241" i="7"/>
  <c r="E241" i="7"/>
  <c r="H241" i="7"/>
  <c r="I241" i="7"/>
  <c r="J241" i="7"/>
  <c r="K241" i="7"/>
  <c r="L241" i="7"/>
  <c r="M241" i="7"/>
  <c r="W241" i="7"/>
  <c r="D242" i="7"/>
  <c r="E242" i="7"/>
  <c r="H242" i="7"/>
  <c r="I242" i="7"/>
  <c r="J242" i="7"/>
  <c r="K242" i="7"/>
  <c r="L242" i="7"/>
  <c r="M242" i="7"/>
  <c r="W242" i="7"/>
  <c r="D243" i="7"/>
  <c r="E243" i="7"/>
  <c r="H243" i="7"/>
  <c r="I243" i="7"/>
  <c r="J243" i="7"/>
  <c r="K243" i="7"/>
  <c r="L243" i="7"/>
  <c r="M243" i="7"/>
  <c r="W243" i="7"/>
  <c r="D244" i="7"/>
  <c r="E244" i="7"/>
  <c r="H244" i="7"/>
  <c r="I244" i="7"/>
  <c r="J244" i="7"/>
  <c r="K244" i="7"/>
  <c r="L244" i="7"/>
  <c r="M244" i="7"/>
  <c r="W244" i="7"/>
  <c r="D245" i="7"/>
  <c r="E245" i="7"/>
  <c r="H245" i="7"/>
  <c r="I245" i="7"/>
  <c r="J245" i="7"/>
  <c r="K245" i="7"/>
  <c r="L245" i="7"/>
  <c r="M245" i="7"/>
  <c r="W245" i="7"/>
  <c r="D246" i="7"/>
  <c r="E246" i="7"/>
  <c r="H246" i="7"/>
  <c r="I246" i="7"/>
  <c r="J246" i="7"/>
  <c r="K246" i="7"/>
  <c r="L246" i="7"/>
  <c r="M246" i="7"/>
  <c r="W246" i="7"/>
  <c r="D247" i="7"/>
  <c r="E247" i="7"/>
  <c r="H247" i="7"/>
  <c r="I247" i="7"/>
  <c r="J247" i="7"/>
  <c r="K247" i="7"/>
  <c r="L247" i="7"/>
  <c r="M247" i="7"/>
  <c r="W247" i="7"/>
  <c r="D248" i="7"/>
  <c r="E248" i="7"/>
  <c r="H248" i="7"/>
  <c r="I248" i="7"/>
  <c r="J248" i="7"/>
  <c r="K248" i="7"/>
  <c r="L248" i="7"/>
  <c r="M248" i="7"/>
  <c r="W248" i="7"/>
  <c r="D249" i="7"/>
  <c r="E249" i="7"/>
  <c r="H249" i="7"/>
  <c r="I249" i="7"/>
  <c r="J249" i="7"/>
  <c r="K249" i="7"/>
  <c r="L249" i="7"/>
  <c r="M249" i="7"/>
  <c r="W249" i="7"/>
  <c r="D250" i="7"/>
  <c r="E250" i="7"/>
  <c r="H250" i="7"/>
  <c r="I250" i="7"/>
  <c r="J250" i="7"/>
  <c r="K250" i="7"/>
  <c r="L250" i="7"/>
  <c r="M250" i="7"/>
  <c r="W250" i="7"/>
  <c r="D251" i="7"/>
  <c r="E251" i="7"/>
  <c r="H251" i="7"/>
  <c r="I251" i="7"/>
  <c r="J251" i="7"/>
  <c r="K251" i="7"/>
  <c r="L251" i="7"/>
  <c r="M251" i="7"/>
  <c r="W251" i="7"/>
  <c r="D252" i="7"/>
  <c r="E252" i="7"/>
  <c r="H252" i="7"/>
  <c r="I252" i="7"/>
  <c r="J252" i="7"/>
  <c r="K252" i="7"/>
  <c r="L252" i="7"/>
  <c r="M252" i="7"/>
  <c r="W252" i="7"/>
  <c r="D253" i="7"/>
  <c r="E253" i="7"/>
  <c r="H253" i="7"/>
  <c r="I253" i="7"/>
  <c r="J253" i="7"/>
  <c r="K253" i="7"/>
  <c r="L253" i="7"/>
  <c r="M253" i="7"/>
  <c r="W253" i="7"/>
  <c r="D254" i="7"/>
  <c r="E254" i="7"/>
  <c r="H254" i="7"/>
  <c r="I254" i="7"/>
  <c r="J254" i="7"/>
  <c r="K254" i="7"/>
  <c r="L254" i="7"/>
  <c r="M254" i="7"/>
  <c r="W254" i="7"/>
  <c r="D255" i="7"/>
  <c r="E255" i="7"/>
  <c r="H255" i="7"/>
  <c r="I255" i="7"/>
  <c r="J255" i="7"/>
  <c r="K255" i="7"/>
  <c r="L255" i="7"/>
  <c r="M255" i="7"/>
  <c r="W255" i="7"/>
  <c r="D256" i="7"/>
  <c r="E256" i="7"/>
  <c r="H256" i="7"/>
  <c r="I256" i="7"/>
  <c r="J256" i="7"/>
  <c r="K256" i="7"/>
  <c r="L256" i="7"/>
  <c r="M256" i="7"/>
  <c r="W256" i="7"/>
  <c r="D257" i="7"/>
  <c r="E257" i="7"/>
  <c r="H257" i="7"/>
  <c r="I257" i="7"/>
  <c r="J257" i="7"/>
  <c r="K257" i="7"/>
  <c r="L257" i="7"/>
  <c r="M257" i="7"/>
  <c r="W257" i="7"/>
  <c r="D258" i="7"/>
  <c r="E258" i="7"/>
  <c r="H258" i="7"/>
  <c r="I258" i="7"/>
  <c r="J258" i="7"/>
  <c r="K258" i="7"/>
  <c r="L258" i="7"/>
  <c r="M258" i="7"/>
  <c r="W258" i="7"/>
  <c r="D259" i="7"/>
  <c r="E259" i="7"/>
  <c r="H259" i="7"/>
  <c r="I259" i="7"/>
  <c r="J259" i="7"/>
  <c r="K259" i="7"/>
  <c r="L259" i="7"/>
  <c r="M259" i="7"/>
  <c r="W259" i="7"/>
  <c r="D260" i="7"/>
  <c r="E260" i="7"/>
  <c r="H260" i="7"/>
  <c r="I260" i="7"/>
  <c r="J260" i="7"/>
  <c r="K260" i="7"/>
  <c r="L260" i="7"/>
  <c r="M260" i="7"/>
  <c r="W260" i="7"/>
  <c r="D261" i="7"/>
  <c r="E261" i="7"/>
  <c r="H261" i="7"/>
  <c r="I261" i="7"/>
  <c r="J261" i="7"/>
  <c r="K261" i="7"/>
  <c r="L261" i="7"/>
  <c r="M261" i="7"/>
  <c r="W261" i="7"/>
  <c r="D262" i="7"/>
  <c r="E262" i="7"/>
  <c r="H262" i="7"/>
  <c r="I262" i="7"/>
  <c r="J262" i="7"/>
  <c r="K262" i="7"/>
  <c r="L262" i="7"/>
  <c r="M262" i="7"/>
  <c r="W262" i="7"/>
  <c r="D263" i="7"/>
  <c r="E263" i="7"/>
  <c r="H263" i="7"/>
  <c r="I263" i="7"/>
  <c r="J263" i="7"/>
  <c r="K263" i="7"/>
  <c r="L263" i="7"/>
  <c r="M263" i="7"/>
  <c r="W263" i="7"/>
  <c r="D264" i="7"/>
  <c r="E264" i="7"/>
  <c r="H264" i="7"/>
  <c r="I264" i="7"/>
  <c r="J264" i="7"/>
  <c r="K264" i="7"/>
  <c r="L264" i="7"/>
  <c r="M264" i="7"/>
  <c r="W264" i="7"/>
  <c r="D265" i="7"/>
  <c r="E265" i="7"/>
  <c r="H265" i="7"/>
  <c r="I265" i="7"/>
  <c r="J265" i="7"/>
  <c r="K265" i="7"/>
  <c r="L265" i="7"/>
  <c r="M265" i="7"/>
  <c r="W265" i="7"/>
  <c r="D266" i="7"/>
  <c r="E266" i="7"/>
  <c r="H266" i="7"/>
  <c r="I266" i="7"/>
  <c r="J266" i="7"/>
  <c r="K266" i="7"/>
  <c r="L266" i="7"/>
  <c r="M266" i="7"/>
  <c r="W266" i="7"/>
  <c r="D267" i="7"/>
  <c r="E267" i="7"/>
  <c r="H267" i="7"/>
  <c r="I267" i="7"/>
  <c r="J267" i="7"/>
  <c r="K267" i="7"/>
  <c r="L267" i="7"/>
  <c r="M267" i="7"/>
  <c r="W267" i="7"/>
  <c r="D268" i="7"/>
  <c r="E268" i="7"/>
  <c r="H268" i="7"/>
  <c r="I268" i="7"/>
  <c r="J268" i="7"/>
  <c r="K268" i="7"/>
  <c r="L268" i="7"/>
  <c r="M268" i="7"/>
  <c r="W268" i="7"/>
  <c r="D269" i="7"/>
  <c r="E269" i="7"/>
  <c r="H269" i="7"/>
  <c r="I269" i="7"/>
  <c r="J269" i="7"/>
  <c r="K269" i="7"/>
  <c r="L269" i="7"/>
  <c r="M269" i="7"/>
  <c r="W269" i="7"/>
  <c r="D270" i="7"/>
  <c r="E270" i="7"/>
  <c r="H270" i="7"/>
  <c r="I270" i="7"/>
  <c r="J270" i="7"/>
  <c r="K270" i="7"/>
  <c r="L270" i="7"/>
  <c r="M270" i="7"/>
  <c r="W270" i="7"/>
  <c r="D271" i="7"/>
  <c r="E271" i="7"/>
  <c r="H271" i="7"/>
  <c r="I271" i="7"/>
  <c r="J271" i="7"/>
  <c r="K271" i="7"/>
  <c r="L271" i="7"/>
  <c r="M271" i="7"/>
  <c r="W271" i="7"/>
  <c r="D272" i="7"/>
  <c r="E272" i="7"/>
  <c r="H272" i="7"/>
  <c r="I272" i="7"/>
  <c r="J272" i="7"/>
  <c r="K272" i="7"/>
  <c r="L272" i="7"/>
  <c r="M272" i="7"/>
  <c r="W272" i="7"/>
  <c r="D273" i="7"/>
  <c r="E273" i="7"/>
  <c r="H273" i="7"/>
  <c r="I273" i="7"/>
  <c r="J273" i="7"/>
  <c r="K273" i="7"/>
  <c r="L273" i="7"/>
  <c r="M273" i="7"/>
  <c r="W273" i="7"/>
  <c r="D274" i="7"/>
  <c r="E274" i="7"/>
  <c r="H274" i="7"/>
  <c r="I274" i="7"/>
  <c r="J274" i="7"/>
  <c r="K274" i="7"/>
  <c r="L274" i="7"/>
  <c r="M274" i="7"/>
  <c r="W274" i="7"/>
  <c r="D275" i="7"/>
  <c r="E275" i="7"/>
  <c r="H275" i="7"/>
  <c r="I275" i="7"/>
  <c r="J275" i="7"/>
  <c r="K275" i="7"/>
  <c r="L275" i="7"/>
  <c r="M275" i="7"/>
  <c r="W275" i="7"/>
  <c r="D276" i="7"/>
  <c r="E276" i="7"/>
  <c r="H276" i="7"/>
  <c r="I276" i="7"/>
  <c r="J276" i="7"/>
  <c r="K276" i="7"/>
  <c r="L276" i="7"/>
  <c r="M276" i="7"/>
  <c r="W276" i="7"/>
  <c r="D277" i="7"/>
  <c r="E277" i="7"/>
  <c r="H277" i="7"/>
  <c r="I277" i="7"/>
  <c r="J277" i="7"/>
  <c r="K277" i="7"/>
  <c r="L277" i="7"/>
  <c r="M277" i="7"/>
  <c r="W277" i="7"/>
  <c r="D278" i="7"/>
  <c r="E278" i="7"/>
  <c r="H278" i="7"/>
  <c r="I278" i="7"/>
  <c r="J278" i="7"/>
  <c r="K278" i="7"/>
  <c r="L278" i="7"/>
  <c r="M278" i="7"/>
  <c r="W278" i="7"/>
  <c r="D279" i="7"/>
  <c r="E279" i="7"/>
  <c r="H279" i="7"/>
  <c r="I279" i="7"/>
  <c r="J279" i="7"/>
  <c r="K279" i="7"/>
  <c r="L279" i="7"/>
  <c r="M279" i="7"/>
  <c r="W279" i="7"/>
  <c r="D280" i="7"/>
  <c r="E280" i="7"/>
  <c r="H280" i="7"/>
  <c r="I280" i="7"/>
  <c r="J280" i="7"/>
  <c r="K280" i="7"/>
  <c r="L280" i="7"/>
  <c r="M280" i="7"/>
  <c r="W280" i="7"/>
  <c r="D281" i="7"/>
  <c r="E281" i="7"/>
  <c r="H281" i="7"/>
  <c r="I281" i="7"/>
  <c r="J281" i="7"/>
  <c r="K281" i="7"/>
  <c r="L281" i="7"/>
  <c r="M281" i="7"/>
  <c r="W281" i="7"/>
  <c r="D282" i="7"/>
  <c r="E282" i="7"/>
  <c r="H282" i="7"/>
  <c r="I282" i="7"/>
  <c r="J282" i="7"/>
  <c r="K282" i="7"/>
  <c r="L282" i="7"/>
  <c r="M282" i="7"/>
  <c r="W282" i="7"/>
  <c r="D283" i="7"/>
  <c r="E283" i="7"/>
  <c r="H283" i="7"/>
  <c r="I283" i="7"/>
  <c r="J283" i="7"/>
  <c r="K283" i="7"/>
  <c r="L283" i="7"/>
  <c r="M283" i="7"/>
  <c r="W283" i="7"/>
  <c r="D284" i="7"/>
  <c r="E284" i="7"/>
  <c r="H284" i="7"/>
  <c r="I284" i="7"/>
  <c r="J284" i="7"/>
  <c r="K284" i="7"/>
  <c r="L284" i="7"/>
  <c r="M284" i="7"/>
  <c r="W284" i="7"/>
  <c r="D285" i="7"/>
  <c r="E285" i="7"/>
  <c r="H285" i="7"/>
  <c r="I285" i="7"/>
  <c r="J285" i="7"/>
  <c r="K285" i="7"/>
  <c r="L285" i="7"/>
  <c r="M285" i="7"/>
  <c r="W285" i="7"/>
  <c r="D286" i="7"/>
  <c r="E286" i="7"/>
  <c r="H286" i="7"/>
  <c r="I286" i="7"/>
  <c r="J286" i="7"/>
  <c r="K286" i="7"/>
  <c r="L286" i="7"/>
  <c r="M286" i="7"/>
  <c r="W286" i="7"/>
  <c r="D287" i="7"/>
  <c r="E287" i="7"/>
  <c r="H287" i="7"/>
  <c r="I287" i="7"/>
  <c r="J287" i="7"/>
  <c r="K287" i="7"/>
  <c r="L287" i="7"/>
  <c r="M287" i="7"/>
  <c r="W287" i="7"/>
  <c r="D288" i="7"/>
  <c r="E288" i="7"/>
  <c r="H288" i="7"/>
  <c r="I288" i="7"/>
  <c r="J288" i="7"/>
  <c r="K288" i="7"/>
  <c r="L288" i="7"/>
  <c r="M288" i="7"/>
  <c r="W288" i="7"/>
  <c r="D289" i="7"/>
  <c r="E289" i="7"/>
  <c r="H289" i="7"/>
  <c r="I289" i="7"/>
  <c r="J289" i="7"/>
  <c r="K289" i="7"/>
  <c r="L289" i="7"/>
  <c r="M289" i="7"/>
  <c r="W289" i="7"/>
  <c r="D290" i="7"/>
  <c r="E290" i="7"/>
  <c r="H290" i="7"/>
  <c r="I290" i="7"/>
  <c r="J290" i="7"/>
  <c r="K290" i="7"/>
  <c r="L290" i="7"/>
  <c r="M290" i="7"/>
  <c r="W290" i="7"/>
  <c r="D291" i="7"/>
  <c r="E291" i="7"/>
  <c r="H291" i="7"/>
  <c r="I291" i="7"/>
  <c r="J291" i="7"/>
  <c r="K291" i="7"/>
  <c r="L291" i="7"/>
  <c r="M291" i="7"/>
  <c r="W291" i="7"/>
  <c r="D292" i="7"/>
  <c r="E292" i="7"/>
  <c r="H292" i="7"/>
  <c r="I292" i="7"/>
  <c r="J292" i="7"/>
  <c r="K292" i="7"/>
  <c r="L292" i="7"/>
  <c r="M292" i="7"/>
  <c r="W292" i="7"/>
  <c r="D293" i="7"/>
  <c r="E293" i="7"/>
  <c r="H293" i="7"/>
  <c r="I293" i="7"/>
  <c r="J293" i="7"/>
  <c r="K293" i="7"/>
  <c r="L293" i="7"/>
  <c r="M293" i="7"/>
  <c r="W293" i="7"/>
  <c r="D294" i="7"/>
  <c r="E294" i="7"/>
  <c r="H294" i="7"/>
  <c r="I294" i="7"/>
  <c r="J294" i="7"/>
  <c r="K294" i="7"/>
  <c r="L294" i="7"/>
  <c r="M294" i="7"/>
  <c r="W294" i="7"/>
  <c r="D295" i="7"/>
  <c r="E295" i="7"/>
  <c r="H295" i="7"/>
  <c r="I295" i="7"/>
  <c r="J295" i="7"/>
  <c r="K295" i="7"/>
  <c r="L295" i="7"/>
  <c r="M295" i="7"/>
  <c r="W295" i="7"/>
  <c r="D296" i="7"/>
  <c r="E296" i="7"/>
  <c r="H296" i="7"/>
  <c r="I296" i="7"/>
  <c r="J296" i="7"/>
  <c r="K296" i="7"/>
  <c r="L296" i="7"/>
  <c r="M296" i="7"/>
  <c r="W296" i="7"/>
  <c r="D297" i="7"/>
  <c r="E297" i="7"/>
  <c r="H297" i="7"/>
  <c r="I297" i="7"/>
  <c r="J297" i="7"/>
  <c r="K297" i="7"/>
  <c r="L297" i="7"/>
  <c r="M297" i="7"/>
  <c r="W297" i="7"/>
  <c r="D298" i="7"/>
  <c r="E298" i="7"/>
  <c r="H298" i="7"/>
  <c r="I298" i="7"/>
  <c r="J298" i="7"/>
  <c r="K298" i="7"/>
  <c r="L298" i="7"/>
  <c r="M298" i="7"/>
  <c r="W298" i="7"/>
  <c r="D299" i="7"/>
  <c r="E299" i="7"/>
  <c r="H299" i="7"/>
  <c r="I299" i="7"/>
  <c r="J299" i="7"/>
  <c r="K299" i="7"/>
  <c r="L299" i="7"/>
  <c r="M299" i="7"/>
  <c r="W299" i="7"/>
  <c r="D300" i="7"/>
  <c r="E300" i="7"/>
  <c r="H300" i="7"/>
  <c r="I300" i="7"/>
  <c r="J300" i="7"/>
  <c r="K300" i="7"/>
  <c r="L300" i="7"/>
  <c r="M300" i="7"/>
  <c r="W300" i="7"/>
  <c r="D301" i="7"/>
  <c r="E301" i="7"/>
  <c r="H301" i="7"/>
  <c r="I301" i="7"/>
  <c r="J301" i="7"/>
  <c r="K301" i="7"/>
  <c r="L301" i="7"/>
  <c r="M301" i="7"/>
  <c r="W301" i="7"/>
  <c r="D302" i="7"/>
  <c r="E302" i="7"/>
  <c r="H302" i="7"/>
  <c r="I302" i="7"/>
  <c r="J302" i="7"/>
  <c r="K302" i="7"/>
  <c r="L302" i="7"/>
  <c r="M302" i="7"/>
  <c r="W302" i="7"/>
  <c r="D303" i="7"/>
  <c r="E303" i="7"/>
  <c r="H303" i="7"/>
  <c r="I303" i="7"/>
  <c r="J303" i="7"/>
  <c r="K303" i="7"/>
  <c r="L303" i="7"/>
  <c r="M303" i="7"/>
  <c r="W303" i="7"/>
  <c r="D304" i="7"/>
  <c r="E304" i="7"/>
  <c r="H304" i="7"/>
  <c r="I304" i="7"/>
  <c r="J304" i="7"/>
  <c r="K304" i="7"/>
  <c r="L304" i="7"/>
  <c r="M304" i="7"/>
  <c r="W304" i="7"/>
  <c r="D305" i="7"/>
  <c r="E305" i="7"/>
  <c r="H305" i="7"/>
  <c r="I305" i="7"/>
  <c r="J305" i="7"/>
  <c r="K305" i="7"/>
  <c r="L305" i="7"/>
  <c r="M305" i="7"/>
  <c r="W305" i="7"/>
  <c r="D306" i="7"/>
  <c r="E306" i="7"/>
  <c r="H306" i="7"/>
  <c r="I306" i="7"/>
  <c r="J306" i="7"/>
  <c r="K306" i="7"/>
  <c r="L306" i="7"/>
  <c r="M306" i="7"/>
  <c r="W306" i="7"/>
  <c r="D307" i="7"/>
  <c r="E307" i="7"/>
  <c r="H307" i="7"/>
  <c r="I307" i="7"/>
  <c r="J307" i="7"/>
  <c r="K307" i="7"/>
  <c r="L307" i="7"/>
  <c r="M307" i="7"/>
  <c r="W307" i="7"/>
  <c r="D308" i="7"/>
  <c r="E308" i="7"/>
  <c r="H308" i="7"/>
  <c r="I308" i="7"/>
  <c r="J308" i="7"/>
  <c r="K308" i="7"/>
  <c r="L308" i="7"/>
  <c r="M308" i="7"/>
  <c r="W308" i="7"/>
  <c r="D309" i="7"/>
  <c r="E309" i="7"/>
  <c r="H309" i="7"/>
  <c r="I309" i="7"/>
  <c r="J309" i="7"/>
  <c r="K309" i="7"/>
  <c r="L309" i="7"/>
  <c r="M309" i="7"/>
  <c r="W309" i="7"/>
  <c r="D310" i="7"/>
  <c r="E310" i="7"/>
  <c r="H310" i="7"/>
  <c r="I310" i="7"/>
  <c r="J310" i="7"/>
  <c r="K310" i="7"/>
  <c r="L310" i="7"/>
  <c r="M310" i="7"/>
  <c r="W310" i="7"/>
  <c r="D311" i="7"/>
  <c r="E311" i="7"/>
  <c r="H311" i="7"/>
  <c r="I311" i="7"/>
  <c r="J311" i="7"/>
  <c r="K311" i="7"/>
  <c r="L311" i="7"/>
  <c r="M311" i="7"/>
  <c r="W311" i="7"/>
  <c r="D312" i="7"/>
  <c r="E312" i="7"/>
  <c r="H312" i="7"/>
  <c r="I312" i="7"/>
  <c r="J312" i="7"/>
  <c r="K312" i="7"/>
  <c r="L312" i="7"/>
  <c r="M312" i="7"/>
  <c r="W312" i="7"/>
  <c r="D313" i="7"/>
  <c r="E313" i="7"/>
  <c r="H313" i="7"/>
  <c r="I313" i="7"/>
  <c r="J313" i="7"/>
  <c r="K313" i="7"/>
  <c r="L313" i="7"/>
  <c r="M313" i="7"/>
  <c r="W313" i="7"/>
  <c r="D314" i="7"/>
  <c r="E314" i="7"/>
  <c r="H314" i="7"/>
  <c r="I314" i="7"/>
  <c r="J314" i="7"/>
  <c r="K314" i="7"/>
  <c r="L314" i="7"/>
  <c r="M314" i="7"/>
  <c r="W314" i="7"/>
  <c r="D315" i="7"/>
  <c r="E315" i="7"/>
  <c r="H315" i="7"/>
  <c r="I315" i="7"/>
  <c r="J315" i="7"/>
  <c r="K315" i="7"/>
  <c r="L315" i="7"/>
  <c r="M315" i="7"/>
  <c r="W315" i="7"/>
  <c r="D316" i="7"/>
  <c r="E316" i="7"/>
  <c r="H316" i="7"/>
  <c r="I316" i="7"/>
  <c r="J316" i="7"/>
  <c r="K316" i="7"/>
  <c r="L316" i="7"/>
  <c r="M316" i="7"/>
  <c r="W316" i="7"/>
  <c r="D317" i="7"/>
  <c r="E317" i="7"/>
  <c r="H317" i="7"/>
  <c r="I317" i="7"/>
  <c r="J317" i="7"/>
  <c r="K317" i="7"/>
  <c r="L317" i="7"/>
  <c r="M317" i="7"/>
  <c r="W317" i="7"/>
  <c r="D318" i="7"/>
  <c r="E318" i="7"/>
  <c r="H318" i="7"/>
  <c r="I318" i="7"/>
  <c r="J318" i="7"/>
  <c r="K318" i="7"/>
  <c r="L318" i="7"/>
  <c r="M318" i="7"/>
  <c r="W318" i="7"/>
  <c r="D319" i="7"/>
  <c r="E319" i="7"/>
  <c r="H319" i="7"/>
  <c r="I319" i="7"/>
  <c r="J319" i="7"/>
  <c r="K319" i="7"/>
  <c r="L319" i="7"/>
  <c r="M319" i="7"/>
  <c r="W319" i="7"/>
  <c r="D320" i="7"/>
  <c r="E320" i="7"/>
  <c r="H320" i="7"/>
  <c r="I320" i="7"/>
  <c r="J320" i="7"/>
  <c r="K320" i="7"/>
  <c r="L320" i="7"/>
  <c r="M320" i="7"/>
  <c r="W320" i="7"/>
  <c r="D321" i="7"/>
  <c r="E321" i="7"/>
  <c r="H321" i="7"/>
  <c r="I321" i="7"/>
  <c r="J321" i="7"/>
  <c r="K321" i="7"/>
  <c r="L321" i="7"/>
  <c r="M321" i="7"/>
  <c r="W321" i="7"/>
  <c r="D322" i="7"/>
  <c r="E322" i="7"/>
  <c r="H322" i="7"/>
  <c r="I322" i="7"/>
  <c r="J322" i="7"/>
  <c r="K322" i="7"/>
  <c r="L322" i="7"/>
  <c r="M322" i="7"/>
  <c r="W322" i="7"/>
  <c r="D323" i="7"/>
  <c r="E323" i="7"/>
  <c r="H323" i="7"/>
  <c r="I323" i="7"/>
  <c r="J323" i="7"/>
  <c r="K323" i="7"/>
  <c r="L323" i="7"/>
  <c r="M323" i="7"/>
  <c r="W323" i="7"/>
  <c r="D324" i="7"/>
  <c r="E324" i="7"/>
  <c r="H324" i="7"/>
  <c r="I324" i="7"/>
  <c r="J324" i="7"/>
  <c r="K324" i="7"/>
  <c r="L324" i="7"/>
  <c r="M324" i="7"/>
  <c r="W324" i="7"/>
  <c r="D325" i="7"/>
  <c r="E325" i="7"/>
  <c r="H325" i="7"/>
  <c r="I325" i="7"/>
  <c r="J325" i="7"/>
  <c r="K325" i="7"/>
  <c r="L325" i="7"/>
  <c r="M325" i="7"/>
  <c r="W325" i="7"/>
  <c r="D326" i="7"/>
  <c r="E326" i="7"/>
  <c r="H326" i="7"/>
  <c r="I326" i="7"/>
  <c r="J326" i="7"/>
  <c r="K326" i="7"/>
  <c r="L326" i="7"/>
  <c r="M326" i="7"/>
  <c r="W326" i="7"/>
  <c r="D327" i="7"/>
  <c r="E327" i="7"/>
  <c r="H327" i="7"/>
  <c r="I327" i="7"/>
  <c r="J327" i="7"/>
  <c r="K327" i="7"/>
  <c r="L327" i="7"/>
  <c r="M327" i="7"/>
  <c r="W327" i="7"/>
  <c r="D328" i="7"/>
  <c r="E328" i="7"/>
  <c r="H328" i="7"/>
  <c r="I328" i="7"/>
  <c r="J328" i="7"/>
  <c r="K328" i="7"/>
  <c r="L328" i="7"/>
  <c r="M328" i="7"/>
  <c r="W328" i="7"/>
  <c r="D329" i="7"/>
  <c r="E329" i="7"/>
  <c r="H329" i="7"/>
  <c r="I329" i="7"/>
  <c r="J329" i="7"/>
  <c r="K329" i="7"/>
  <c r="L329" i="7"/>
  <c r="M329" i="7"/>
  <c r="W329" i="7"/>
  <c r="D330" i="7"/>
  <c r="E330" i="7"/>
  <c r="H330" i="7"/>
  <c r="I330" i="7"/>
  <c r="J330" i="7"/>
  <c r="K330" i="7"/>
  <c r="L330" i="7"/>
  <c r="M330" i="7"/>
  <c r="W330" i="7"/>
  <c r="D331" i="7"/>
  <c r="E331" i="7"/>
  <c r="H331" i="7"/>
  <c r="I331" i="7"/>
  <c r="J331" i="7"/>
  <c r="K331" i="7"/>
  <c r="L331" i="7"/>
  <c r="M331" i="7"/>
  <c r="W331" i="7"/>
  <c r="D332" i="7"/>
  <c r="E332" i="7"/>
  <c r="H332" i="7"/>
  <c r="I332" i="7"/>
  <c r="J332" i="7"/>
  <c r="K332" i="7"/>
  <c r="L332" i="7"/>
  <c r="M332" i="7"/>
  <c r="W332" i="7"/>
  <c r="D333" i="7"/>
  <c r="E333" i="7"/>
  <c r="H333" i="7"/>
  <c r="I333" i="7"/>
  <c r="J333" i="7"/>
  <c r="K333" i="7"/>
  <c r="L333" i="7"/>
  <c r="M333" i="7"/>
  <c r="W333" i="7"/>
  <c r="D334" i="7"/>
  <c r="E334" i="7"/>
  <c r="H334" i="7"/>
  <c r="I334" i="7"/>
  <c r="J334" i="7"/>
  <c r="K334" i="7"/>
  <c r="L334" i="7"/>
  <c r="M334" i="7"/>
  <c r="W334" i="7"/>
  <c r="D335" i="7"/>
  <c r="E335" i="7"/>
  <c r="H335" i="7"/>
  <c r="I335" i="7"/>
  <c r="J335" i="7"/>
  <c r="K335" i="7"/>
  <c r="L335" i="7"/>
  <c r="M335" i="7"/>
  <c r="W335" i="7"/>
  <c r="D336" i="7"/>
  <c r="E336" i="7"/>
  <c r="H336" i="7"/>
  <c r="I336" i="7"/>
  <c r="J336" i="7"/>
  <c r="K336" i="7"/>
  <c r="L336" i="7"/>
  <c r="M336" i="7"/>
  <c r="W336" i="7"/>
  <c r="D337" i="7"/>
  <c r="E337" i="7"/>
  <c r="H337" i="7"/>
  <c r="I337" i="7"/>
  <c r="J337" i="7"/>
  <c r="K337" i="7"/>
  <c r="L337" i="7"/>
  <c r="M337" i="7"/>
  <c r="W337" i="7"/>
  <c r="D338" i="7"/>
  <c r="E338" i="7"/>
  <c r="H338" i="7"/>
  <c r="I338" i="7"/>
  <c r="J338" i="7"/>
  <c r="K338" i="7"/>
  <c r="L338" i="7"/>
  <c r="M338" i="7"/>
  <c r="W338" i="7"/>
  <c r="D339" i="7"/>
  <c r="E339" i="7"/>
  <c r="H339" i="7"/>
  <c r="I339" i="7"/>
  <c r="J339" i="7"/>
  <c r="K339" i="7"/>
  <c r="L339" i="7"/>
  <c r="M339" i="7"/>
  <c r="W339" i="7"/>
  <c r="D340" i="7"/>
  <c r="E340" i="7"/>
  <c r="H340" i="7"/>
  <c r="I340" i="7"/>
  <c r="J340" i="7"/>
  <c r="K340" i="7"/>
  <c r="L340" i="7"/>
  <c r="M340" i="7"/>
  <c r="W340" i="7"/>
  <c r="D341" i="7"/>
  <c r="E341" i="7"/>
  <c r="H341" i="7"/>
  <c r="I341" i="7"/>
  <c r="J341" i="7"/>
  <c r="K341" i="7"/>
  <c r="L341" i="7"/>
  <c r="M341" i="7"/>
  <c r="W341" i="7"/>
  <c r="D342" i="7"/>
  <c r="E342" i="7"/>
  <c r="H342" i="7"/>
  <c r="I342" i="7"/>
  <c r="J342" i="7"/>
  <c r="K342" i="7"/>
  <c r="L342" i="7"/>
  <c r="M342" i="7"/>
  <c r="W342" i="7"/>
  <c r="D343" i="7"/>
  <c r="E343" i="7"/>
  <c r="H343" i="7"/>
  <c r="I343" i="7"/>
  <c r="J343" i="7"/>
  <c r="K343" i="7"/>
  <c r="L343" i="7"/>
  <c r="M343" i="7"/>
  <c r="W343" i="7"/>
  <c r="D344" i="7"/>
  <c r="E344" i="7"/>
  <c r="H344" i="7"/>
  <c r="I344" i="7"/>
  <c r="J344" i="7"/>
  <c r="K344" i="7"/>
  <c r="L344" i="7"/>
  <c r="M344" i="7"/>
  <c r="W344" i="7"/>
  <c r="D345" i="7"/>
  <c r="E345" i="7"/>
  <c r="H345" i="7"/>
  <c r="I345" i="7"/>
  <c r="J345" i="7"/>
  <c r="K345" i="7"/>
  <c r="L345" i="7"/>
  <c r="M345" i="7"/>
  <c r="W345" i="7"/>
  <c r="D346" i="7"/>
  <c r="E346" i="7"/>
  <c r="H346" i="7"/>
  <c r="I346" i="7"/>
  <c r="J346" i="7"/>
  <c r="K346" i="7"/>
  <c r="L346" i="7"/>
  <c r="M346" i="7"/>
  <c r="W346" i="7"/>
  <c r="D347" i="7"/>
  <c r="E347" i="7"/>
  <c r="H347" i="7"/>
  <c r="I347" i="7"/>
  <c r="J347" i="7"/>
  <c r="K347" i="7"/>
  <c r="L347" i="7"/>
  <c r="M347" i="7"/>
  <c r="W347" i="7"/>
  <c r="D348" i="7"/>
  <c r="E348" i="7"/>
  <c r="H348" i="7"/>
  <c r="I348" i="7"/>
  <c r="J348" i="7"/>
  <c r="K348" i="7"/>
  <c r="L348" i="7"/>
  <c r="M348" i="7"/>
  <c r="W348" i="7"/>
  <c r="D349" i="7"/>
  <c r="E349" i="7"/>
  <c r="H349" i="7"/>
  <c r="I349" i="7"/>
  <c r="J349" i="7"/>
  <c r="K349" i="7"/>
  <c r="L349" i="7"/>
  <c r="M349" i="7"/>
  <c r="W349" i="7"/>
  <c r="D350" i="7"/>
  <c r="E350" i="7"/>
  <c r="H350" i="7"/>
  <c r="I350" i="7"/>
  <c r="J350" i="7"/>
  <c r="K350" i="7"/>
  <c r="L350" i="7"/>
  <c r="M350" i="7"/>
  <c r="W350" i="7"/>
  <c r="D351" i="7"/>
  <c r="E351" i="7"/>
  <c r="H351" i="7"/>
  <c r="I351" i="7"/>
  <c r="J351" i="7"/>
  <c r="K351" i="7"/>
  <c r="L351" i="7"/>
  <c r="M351" i="7"/>
  <c r="W351" i="7"/>
  <c r="D352" i="7"/>
  <c r="E352" i="7"/>
  <c r="H352" i="7"/>
  <c r="I352" i="7"/>
  <c r="J352" i="7"/>
  <c r="K352" i="7"/>
  <c r="L352" i="7"/>
  <c r="M352" i="7"/>
  <c r="W352" i="7"/>
  <c r="D353" i="7"/>
  <c r="E353" i="7"/>
  <c r="H353" i="7"/>
  <c r="I353" i="7"/>
  <c r="J353" i="7"/>
  <c r="K353" i="7"/>
  <c r="L353" i="7"/>
  <c r="M353" i="7"/>
  <c r="W353" i="7"/>
  <c r="D354" i="7"/>
  <c r="E354" i="7"/>
  <c r="H354" i="7"/>
  <c r="I354" i="7"/>
  <c r="J354" i="7"/>
  <c r="K354" i="7"/>
  <c r="L354" i="7"/>
  <c r="M354" i="7"/>
  <c r="W354" i="7"/>
  <c r="D355" i="7"/>
  <c r="E355" i="7"/>
  <c r="H355" i="7"/>
  <c r="I355" i="7"/>
  <c r="J355" i="7"/>
  <c r="K355" i="7"/>
  <c r="L355" i="7"/>
  <c r="M355" i="7"/>
  <c r="W355" i="7"/>
  <c r="D356" i="7"/>
  <c r="E356" i="7"/>
  <c r="H356" i="7"/>
  <c r="I356" i="7"/>
  <c r="J356" i="7"/>
  <c r="K356" i="7"/>
  <c r="L356" i="7"/>
  <c r="M356" i="7"/>
  <c r="W356" i="7"/>
  <c r="D357" i="7"/>
  <c r="E357" i="7"/>
  <c r="H357" i="7"/>
  <c r="I357" i="7"/>
  <c r="J357" i="7"/>
  <c r="K357" i="7"/>
  <c r="L357" i="7"/>
  <c r="M357" i="7"/>
  <c r="W357" i="7"/>
  <c r="D358" i="7"/>
  <c r="E358" i="7"/>
  <c r="H358" i="7"/>
  <c r="I358" i="7"/>
  <c r="J358" i="7"/>
  <c r="K358" i="7"/>
  <c r="L358" i="7"/>
  <c r="M358" i="7"/>
  <c r="W358" i="7"/>
  <c r="D359" i="7"/>
  <c r="E359" i="7"/>
  <c r="H359" i="7"/>
  <c r="I359" i="7"/>
  <c r="J359" i="7"/>
  <c r="K359" i="7"/>
  <c r="L359" i="7"/>
  <c r="M359" i="7"/>
  <c r="W359" i="7"/>
  <c r="D360" i="7"/>
  <c r="E360" i="7"/>
  <c r="H360" i="7"/>
  <c r="I360" i="7"/>
  <c r="J360" i="7"/>
  <c r="K360" i="7"/>
  <c r="L360" i="7"/>
  <c r="M360" i="7"/>
  <c r="W360" i="7"/>
  <c r="D361" i="7"/>
  <c r="E361" i="7"/>
  <c r="H361" i="7"/>
  <c r="I361" i="7"/>
  <c r="J361" i="7"/>
  <c r="K361" i="7"/>
  <c r="L361" i="7"/>
  <c r="M361" i="7"/>
  <c r="W361" i="7"/>
  <c r="D362" i="7"/>
  <c r="E362" i="7"/>
  <c r="H362" i="7"/>
  <c r="I362" i="7"/>
  <c r="J362" i="7"/>
  <c r="K362" i="7"/>
  <c r="L362" i="7"/>
  <c r="M362" i="7"/>
  <c r="W362" i="7"/>
  <c r="D363" i="7"/>
  <c r="E363" i="7"/>
  <c r="H363" i="7"/>
  <c r="I363" i="7"/>
  <c r="J363" i="7"/>
  <c r="K363" i="7"/>
  <c r="L363" i="7"/>
  <c r="M363" i="7"/>
  <c r="W363" i="7"/>
  <c r="D364" i="7"/>
  <c r="E364" i="7"/>
  <c r="H364" i="7"/>
  <c r="I364" i="7"/>
  <c r="J364" i="7"/>
  <c r="K364" i="7"/>
  <c r="L364" i="7"/>
  <c r="M364" i="7"/>
  <c r="W364" i="7"/>
  <c r="D365" i="7"/>
  <c r="E365" i="7"/>
  <c r="H365" i="7"/>
  <c r="I365" i="7"/>
  <c r="J365" i="7"/>
  <c r="K365" i="7"/>
  <c r="L365" i="7"/>
  <c r="M365" i="7"/>
  <c r="W365" i="7"/>
  <c r="D366" i="7"/>
  <c r="E366" i="7"/>
  <c r="H366" i="7"/>
  <c r="I366" i="7"/>
  <c r="J366" i="7"/>
  <c r="K366" i="7"/>
  <c r="L366" i="7"/>
  <c r="M366" i="7"/>
  <c r="W366" i="7"/>
  <c r="D367" i="7"/>
  <c r="E367" i="7"/>
  <c r="H367" i="7"/>
  <c r="I367" i="7"/>
  <c r="J367" i="7"/>
  <c r="K367" i="7"/>
  <c r="L367" i="7"/>
  <c r="M367" i="7"/>
  <c r="W367" i="7"/>
  <c r="D368" i="7"/>
  <c r="E368" i="7"/>
  <c r="H368" i="7"/>
  <c r="I368" i="7"/>
  <c r="J368" i="7"/>
  <c r="K368" i="7"/>
  <c r="L368" i="7"/>
  <c r="M368" i="7"/>
  <c r="W368" i="7"/>
  <c r="D369" i="7"/>
  <c r="E369" i="7"/>
  <c r="H369" i="7"/>
  <c r="I369" i="7"/>
  <c r="J369" i="7"/>
  <c r="K369" i="7"/>
  <c r="L369" i="7"/>
  <c r="M369" i="7"/>
  <c r="W369" i="7"/>
  <c r="D370" i="7"/>
  <c r="E370" i="7"/>
  <c r="H370" i="7"/>
  <c r="I370" i="7"/>
  <c r="J370" i="7"/>
  <c r="K370" i="7"/>
  <c r="L370" i="7"/>
  <c r="M370" i="7"/>
  <c r="W370" i="7"/>
  <c r="D371" i="7"/>
  <c r="E371" i="7"/>
  <c r="H371" i="7"/>
  <c r="I371" i="7"/>
  <c r="J371" i="7"/>
  <c r="K371" i="7"/>
  <c r="L371" i="7"/>
  <c r="M371" i="7"/>
  <c r="W371" i="7"/>
  <c r="D372" i="7"/>
  <c r="E372" i="7"/>
  <c r="H372" i="7"/>
  <c r="I372" i="7"/>
  <c r="J372" i="7"/>
  <c r="K372" i="7"/>
  <c r="L372" i="7"/>
  <c r="M372" i="7"/>
  <c r="W372" i="7"/>
  <c r="D373" i="7"/>
  <c r="E373" i="7"/>
  <c r="H373" i="7"/>
  <c r="I373" i="7"/>
  <c r="J373" i="7"/>
  <c r="K373" i="7"/>
  <c r="L373" i="7"/>
  <c r="M373" i="7"/>
  <c r="W373" i="7"/>
  <c r="D374" i="7"/>
  <c r="E374" i="7"/>
  <c r="H374" i="7"/>
  <c r="I374" i="7"/>
  <c r="J374" i="7"/>
  <c r="K374" i="7"/>
  <c r="L374" i="7"/>
  <c r="M374" i="7"/>
  <c r="W374" i="7"/>
  <c r="D375" i="7"/>
  <c r="E375" i="7"/>
  <c r="H375" i="7"/>
  <c r="I375" i="7"/>
  <c r="J375" i="7"/>
  <c r="K375" i="7"/>
  <c r="L375" i="7"/>
  <c r="M375" i="7"/>
  <c r="W375" i="7"/>
  <c r="D376" i="7"/>
  <c r="E376" i="7"/>
  <c r="H376" i="7"/>
  <c r="I376" i="7"/>
  <c r="J376" i="7"/>
  <c r="K376" i="7"/>
  <c r="L376" i="7"/>
  <c r="M376" i="7"/>
  <c r="W376" i="7"/>
  <c r="D377" i="7"/>
  <c r="E377" i="7"/>
  <c r="H377" i="7"/>
  <c r="I377" i="7"/>
  <c r="J377" i="7"/>
  <c r="K377" i="7"/>
  <c r="L377" i="7"/>
  <c r="M377" i="7"/>
  <c r="W377" i="7"/>
  <c r="D378" i="7"/>
  <c r="E378" i="7"/>
  <c r="H378" i="7"/>
  <c r="I378" i="7"/>
  <c r="J378" i="7"/>
  <c r="K378" i="7"/>
  <c r="L378" i="7"/>
  <c r="M378" i="7"/>
  <c r="W378" i="7"/>
  <c r="D379" i="7"/>
  <c r="E379" i="7"/>
  <c r="H379" i="7"/>
  <c r="I379" i="7"/>
  <c r="J379" i="7"/>
  <c r="K379" i="7"/>
  <c r="L379" i="7"/>
  <c r="M379" i="7"/>
  <c r="W379" i="7"/>
  <c r="D380" i="7"/>
  <c r="E380" i="7"/>
  <c r="H380" i="7"/>
  <c r="I380" i="7"/>
  <c r="J380" i="7"/>
  <c r="K380" i="7"/>
  <c r="L380" i="7"/>
  <c r="M380" i="7"/>
  <c r="W380" i="7"/>
  <c r="D381" i="7"/>
  <c r="E381" i="7"/>
  <c r="H381" i="7"/>
  <c r="I381" i="7"/>
  <c r="J381" i="7"/>
  <c r="K381" i="7"/>
  <c r="L381" i="7"/>
  <c r="M381" i="7"/>
  <c r="W381" i="7"/>
  <c r="D382" i="7"/>
  <c r="E382" i="7"/>
  <c r="H382" i="7"/>
  <c r="I382" i="7"/>
  <c r="J382" i="7"/>
  <c r="K382" i="7"/>
  <c r="L382" i="7"/>
  <c r="M382" i="7"/>
  <c r="W382" i="7"/>
  <c r="D383" i="7"/>
  <c r="E383" i="7"/>
  <c r="H383" i="7"/>
  <c r="I383" i="7"/>
  <c r="J383" i="7"/>
  <c r="K383" i="7"/>
  <c r="L383" i="7"/>
  <c r="M383" i="7"/>
  <c r="W383" i="7"/>
  <c r="D384" i="7"/>
  <c r="E384" i="7"/>
  <c r="H384" i="7"/>
  <c r="I384" i="7"/>
  <c r="J384" i="7"/>
  <c r="K384" i="7"/>
  <c r="L384" i="7"/>
  <c r="M384" i="7"/>
  <c r="W384" i="7"/>
  <c r="D385" i="7"/>
  <c r="E385" i="7"/>
  <c r="H385" i="7"/>
  <c r="I385" i="7"/>
  <c r="J385" i="7"/>
  <c r="K385" i="7"/>
  <c r="L385" i="7"/>
  <c r="M385" i="7"/>
  <c r="W385" i="7"/>
  <c r="D386" i="7"/>
  <c r="E386" i="7"/>
  <c r="H386" i="7"/>
  <c r="I386" i="7"/>
  <c r="J386" i="7"/>
  <c r="K386" i="7"/>
  <c r="L386" i="7"/>
  <c r="M386" i="7"/>
  <c r="W386" i="7"/>
  <c r="D387" i="7"/>
  <c r="E387" i="7"/>
  <c r="H387" i="7"/>
  <c r="I387" i="7"/>
  <c r="J387" i="7"/>
  <c r="K387" i="7"/>
  <c r="L387" i="7"/>
  <c r="M387" i="7"/>
  <c r="W387" i="7"/>
  <c r="D388" i="7"/>
  <c r="E388" i="7"/>
  <c r="H388" i="7"/>
  <c r="I388" i="7"/>
  <c r="J388" i="7"/>
  <c r="K388" i="7"/>
  <c r="L388" i="7"/>
  <c r="M388" i="7"/>
  <c r="W388" i="7"/>
  <c r="D389" i="7"/>
  <c r="E389" i="7"/>
  <c r="H389" i="7"/>
  <c r="I389" i="7"/>
  <c r="J389" i="7"/>
  <c r="K389" i="7"/>
  <c r="L389" i="7"/>
  <c r="M389" i="7"/>
  <c r="W389" i="7"/>
  <c r="D390" i="7"/>
  <c r="E390" i="7"/>
  <c r="H390" i="7"/>
  <c r="I390" i="7"/>
  <c r="J390" i="7"/>
  <c r="K390" i="7"/>
  <c r="L390" i="7"/>
  <c r="M390" i="7"/>
  <c r="W390" i="7"/>
  <c r="D391" i="7"/>
  <c r="E391" i="7"/>
  <c r="H391" i="7"/>
  <c r="I391" i="7"/>
  <c r="J391" i="7"/>
  <c r="K391" i="7"/>
  <c r="L391" i="7"/>
  <c r="M391" i="7"/>
  <c r="W391" i="7"/>
  <c r="D392" i="7"/>
  <c r="E392" i="7"/>
  <c r="H392" i="7"/>
  <c r="I392" i="7"/>
  <c r="J392" i="7"/>
  <c r="K392" i="7"/>
  <c r="L392" i="7"/>
  <c r="M392" i="7"/>
  <c r="W392" i="7"/>
  <c r="D393" i="7"/>
  <c r="E393" i="7"/>
  <c r="H393" i="7"/>
  <c r="I393" i="7"/>
  <c r="J393" i="7"/>
  <c r="K393" i="7"/>
  <c r="L393" i="7"/>
  <c r="M393" i="7"/>
  <c r="W393" i="7"/>
  <c r="D394" i="7"/>
  <c r="E394" i="7"/>
  <c r="H394" i="7"/>
  <c r="I394" i="7"/>
  <c r="J394" i="7"/>
  <c r="K394" i="7"/>
  <c r="L394" i="7"/>
  <c r="M394" i="7"/>
  <c r="W394" i="7"/>
  <c r="D395" i="7"/>
  <c r="E395" i="7"/>
  <c r="H395" i="7"/>
  <c r="I395" i="7"/>
  <c r="J395" i="7"/>
  <c r="K395" i="7"/>
  <c r="L395" i="7"/>
  <c r="M395" i="7"/>
  <c r="W395" i="7"/>
  <c r="D396" i="7"/>
  <c r="E396" i="7"/>
  <c r="H396" i="7"/>
  <c r="I396" i="7"/>
  <c r="J396" i="7"/>
  <c r="K396" i="7"/>
  <c r="L396" i="7"/>
  <c r="M396" i="7"/>
  <c r="W396" i="7"/>
  <c r="D397" i="7"/>
  <c r="E397" i="7"/>
  <c r="H397" i="7"/>
  <c r="I397" i="7"/>
  <c r="J397" i="7"/>
  <c r="K397" i="7"/>
  <c r="L397" i="7"/>
  <c r="M397" i="7"/>
  <c r="W397" i="7"/>
  <c r="D398" i="7"/>
  <c r="E398" i="7"/>
  <c r="H398" i="7"/>
  <c r="I398" i="7"/>
  <c r="J398" i="7"/>
  <c r="K398" i="7"/>
  <c r="L398" i="7"/>
  <c r="M398" i="7"/>
  <c r="W398" i="7"/>
  <c r="D399" i="7"/>
  <c r="E399" i="7"/>
  <c r="H399" i="7"/>
  <c r="I399" i="7"/>
  <c r="J399" i="7"/>
  <c r="K399" i="7"/>
  <c r="L399" i="7"/>
  <c r="M399" i="7"/>
  <c r="W399" i="7"/>
  <c r="D400" i="7"/>
  <c r="E400" i="7"/>
  <c r="H400" i="7"/>
  <c r="I400" i="7"/>
  <c r="J400" i="7"/>
  <c r="K400" i="7"/>
  <c r="L400" i="7"/>
  <c r="M400" i="7"/>
  <c r="W400" i="7"/>
  <c r="D401" i="7"/>
  <c r="E401" i="7"/>
  <c r="H401" i="7"/>
  <c r="I401" i="7"/>
  <c r="J401" i="7"/>
  <c r="K401" i="7"/>
  <c r="L401" i="7"/>
  <c r="M401" i="7"/>
  <c r="W401" i="7"/>
  <c r="D402" i="7"/>
  <c r="E402" i="7"/>
  <c r="H402" i="7"/>
  <c r="I402" i="7"/>
  <c r="J402" i="7"/>
  <c r="K402" i="7"/>
  <c r="L402" i="7"/>
  <c r="M402" i="7"/>
  <c r="W402" i="7"/>
  <c r="D403" i="7"/>
  <c r="E403" i="7"/>
  <c r="H403" i="7"/>
  <c r="I403" i="7"/>
  <c r="J403" i="7"/>
  <c r="K403" i="7"/>
  <c r="L403" i="7"/>
  <c r="M403" i="7"/>
  <c r="W403" i="7"/>
  <c r="D404" i="7"/>
  <c r="E404" i="7"/>
  <c r="H404" i="7"/>
  <c r="I404" i="7"/>
  <c r="J404" i="7"/>
  <c r="K404" i="7"/>
  <c r="L404" i="7"/>
  <c r="M404" i="7"/>
  <c r="W404" i="7"/>
  <c r="D405" i="7"/>
  <c r="E405" i="7"/>
  <c r="H405" i="7"/>
  <c r="I405" i="7"/>
  <c r="J405" i="7"/>
  <c r="K405" i="7"/>
  <c r="L405" i="7"/>
  <c r="M405" i="7"/>
  <c r="W405" i="7"/>
  <c r="D406" i="7"/>
  <c r="E406" i="7"/>
  <c r="H406" i="7"/>
  <c r="I406" i="7"/>
  <c r="J406" i="7"/>
  <c r="K406" i="7"/>
  <c r="L406" i="7"/>
  <c r="M406" i="7"/>
  <c r="W406" i="7"/>
  <c r="D407" i="7"/>
  <c r="E407" i="7"/>
  <c r="H407" i="7"/>
  <c r="I407" i="7"/>
  <c r="J407" i="7"/>
  <c r="K407" i="7"/>
  <c r="L407" i="7"/>
  <c r="M407" i="7"/>
  <c r="W407" i="7"/>
  <c r="D408" i="7"/>
  <c r="E408" i="7"/>
  <c r="H408" i="7"/>
  <c r="I408" i="7"/>
  <c r="J408" i="7"/>
  <c r="K408" i="7"/>
  <c r="L408" i="7"/>
  <c r="M408" i="7"/>
  <c r="W408" i="7"/>
  <c r="D409" i="7"/>
  <c r="E409" i="7"/>
  <c r="H409" i="7"/>
  <c r="I409" i="7"/>
  <c r="J409" i="7"/>
  <c r="K409" i="7"/>
  <c r="L409" i="7"/>
  <c r="M409" i="7"/>
  <c r="W409" i="7"/>
  <c r="D410" i="7"/>
  <c r="E410" i="7"/>
  <c r="H410" i="7"/>
  <c r="I410" i="7"/>
  <c r="J410" i="7"/>
  <c r="K410" i="7"/>
  <c r="L410" i="7"/>
  <c r="M410" i="7"/>
  <c r="W410" i="7"/>
  <c r="D411" i="7"/>
  <c r="E411" i="7"/>
  <c r="H411" i="7"/>
  <c r="I411" i="7"/>
  <c r="J411" i="7"/>
  <c r="K411" i="7"/>
  <c r="L411" i="7"/>
  <c r="M411" i="7"/>
  <c r="W411" i="7"/>
  <c r="D412" i="7"/>
  <c r="E412" i="7"/>
  <c r="H412" i="7"/>
  <c r="I412" i="7"/>
  <c r="J412" i="7"/>
  <c r="K412" i="7"/>
  <c r="L412" i="7"/>
  <c r="M412" i="7"/>
  <c r="W412" i="7"/>
  <c r="D413" i="7"/>
  <c r="E413" i="7"/>
  <c r="H413" i="7"/>
  <c r="I413" i="7"/>
  <c r="J413" i="7"/>
  <c r="K413" i="7"/>
  <c r="L413" i="7"/>
  <c r="M413" i="7"/>
  <c r="W413" i="7"/>
  <c r="D414" i="7"/>
  <c r="E414" i="7"/>
  <c r="H414" i="7"/>
  <c r="I414" i="7"/>
  <c r="J414" i="7"/>
  <c r="K414" i="7"/>
  <c r="L414" i="7"/>
  <c r="M414" i="7"/>
  <c r="W414" i="7"/>
  <c r="D415" i="7"/>
  <c r="E415" i="7"/>
  <c r="H415" i="7"/>
  <c r="I415" i="7"/>
  <c r="J415" i="7"/>
  <c r="K415" i="7"/>
  <c r="L415" i="7"/>
  <c r="M415" i="7"/>
  <c r="W415" i="7"/>
  <c r="D416" i="7"/>
  <c r="E416" i="7"/>
  <c r="H416" i="7"/>
  <c r="I416" i="7"/>
  <c r="J416" i="7"/>
  <c r="K416" i="7"/>
  <c r="L416" i="7"/>
  <c r="M416" i="7"/>
  <c r="W416" i="7"/>
  <c r="D417" i="7"/>
  <c r="E417" i="7"/>
  <c r="H417" i="7"/>
  <c r="I417" i="7"/>
  <c r="J417" i="7"/>
  <c r="K417" i="7"/>
  <c r="L417" i="7"/>
  <c r="M417" i="7"/>
  <c r="W417" i="7"/>
  <c r="D418" i="7"/>
  <c r="E418" i="7"/>
  <c r="H418" i="7"/>
  <c r="I418" i="7"/>
  <c r="J418" i="7"/>
  <c r="K418" i="7"/>
  <c r="L418" i="7"/>
  <c r="M418" i="7"/>
  <c r="W418" i="7"/>
  <c r="D419" i="7"/>
  <c r="E419" i="7"/>
  <c r="H419" i="7"/>
  <c r="I419" i="7"/>
  <c r="J419" i="7"/>
  <c r="K419" i="7"/>
  <c r="L419" i="7"/>
  <c r="M419" i="7"/>
  <c r="W419" i="7"/>
  <c r="D420" i="7"/>
  <c r="E420" i="7"/>
  <c r="H420" i="7"/>
  <c r="I420" i="7"/>
  <c r="J420" i="7"/>
  <c r="K420" i="7"/>
  <c r="L420" i="7"/>
  <c r="M420" i="7"/>
  <c r="W420" i="7"/>
  <c r="D421" i="7"/>
  <c r="E421" i="7"/>
  <c r="H421" i="7"/>
  <c r="I421" i="7"/>
  <c r="J421" i="7"/>
  <c r="K421" i="7"/>
  <c r="L421" i="7"/>
  <c r="M421" i="7"/>
  <c r="W421" i="7"/>
  <c r="D422" i="7"/>
  <c r="E422" i="7"/>
  <c r="H422" i="7"/>
  <c r="I422" i="7"/>
  <c r="J422" i="7"/>
  <c r="K422" i="7"/>
  <c r="L422" i="7"/>
  <c r="M422" i="7"/>
  <c r="W422" i="7"/>
  <c r="D423" i="7"/>
  <c r="E423" i="7"/>
  <c r="H423" i="7"/>
  <c r="I423" i="7"/>
  <c r="J423" i="7"/>
  <c r="K423" i="7"/>
  <c r="L423" i="7"/>
  <c r="M423" i="7"/>
  <c r="W423" i="7"/>
  <c r="D424" i="7"/>
  <c r="E424" i="7"/>
  <c r="H424" i="7"/>
  <c r="I424" i="7"/>
  <c r="J424" i="7"/>
  <c r="K424" i="7"/>
  <c r="L424" i="7"/>
  <c r="M424" i="7"/>
  <c r="W424" i="7"/>
  <c r="D425" i="7"/>
  <c r="E425" i="7"/>
  <c r="H425" i="7"/>
  <c r="I425" i="7"/>
  <c r="J425" i="7"/>
  <c r="K425" i="7"/>
  <c r="L425" i="7"/>
  <c r="M425" i="7"/>
  <c r="W425" i="7"/>
  <c r="D426" i="7"/>
  <c r="E426" i="7"/>
  <c r="H426" i="7"/>
  <c r="I426" i="7"/>
  <c r="J426" i="7"/>
  <c r="K426" i="7"/>
  <c r="L426" i="7"/>
  <c r="M426" i="7"/>
  <c r="W426" i="7"/>
  <c r="D427" i="7"/>
  <c r="E427" i="7"/>
  <c r="H427" i="7"/>
  <c r="I427" i="7"/>
  <c r="J427" i="7"/>
  <c r="K427" i="7"/>
  <c r="L427" i="7"/>
  <c r="M427" i="7"/>
  <c r="W427" i="7"/>
  <c r="D428" i="7"/>
  <c r="E428" i="7"/>
  <c r="H428" i="7"/>
  <c r="I428" i="7"/>
  <c r="J428" i="7"/>
  <c r="K428" i="7"/>
  <c r="L428" i="7"/>
  <c r="M428" i="7"/>
  <c r="W428" i="7"/>
  <c r="D429" i="7"/>
  <c r="E429" i="7"/>
  <c r="H429" i="7"/>
  <c r="I429" i="7"/>
  <c r="J429" i="7"/>
  <c r="K429" i="7"/>
  <c r="L429" i="7"/>
  <c r="M429" i="7"/>
  <c r="W429" i="7"/>
  <c r="D430" i="7"/>
  <c r="E430" i="7"/>
  <c r="H430" i="7"/>
  <c r="I430" i="7"/>
  <c r="J430" i="7"/>
  <c r="K430" i="7"/>
  <c r="L430" i="7"/>
  <c r="M430" i="7"/>
  <c r="W430" i="7"/>
  <c r="D431" i="7"/>
  <c r="E431" i="7"/>
  <c r="H431" i="7"/>
  <c r="I431" i="7"/>
  <c r="J431" i="7"/>
  <c r="K431" i="7"/>
  <c r="L431" i="7"/>
  <c r="M431" i="7"/>
  <c r="W431" i="7"/>
  <c r="D432" i="7"/>
  <c r="E432" i="7"/>
  <c r="H432" i="7"/>
  <c r="I432" i="7"/>
  <c r="J432" i="7"/>
  <c r="K432" i="7"/>
  <c r="L432" i="7"/>
  <c r="M432" i="7"/>
  <c r="W432" i="7"/>
  <c r="D433" i="7"/>
  <c r="E433" i="7"/>
  <c r="H433" i="7"/>
  <c r="I433" i="7"/>
  <c r="J433" i="7"/>
  <c r="K433" i="7"/>
  <c r="L433" i="7"/>
  <c r="M433" i="7"/>
  <c r="W433" i="7"/>
  <c r="D434" i="7"/>
  <c r="E434" i="7"/>
  <c r="H434" i="7"/>
  <c r="I434" i="7"/>
  <c r="J434" i="7"/>
  <c r="K434" i="7"/>
  <c r="L434" i="7"/>
  <c r="M434" i="7"/>
  <c r="W434" i="7"/>
  <c r="D435" i="7"/>
  <c r="E435" i="7"/>
  <c r="H435" i="7"/>
  <c r="I435" i="7"/>
  <c r="J435" i="7"/>
  <c r="K435" i="7"/>
  <c r="L435" i="7"/>
  <c r="M435" i="7"/>
  <c r="W435" i="7"/>
  <c r="D436" i="7"/>
  <c r="E436" i="7"/>
  <c r="H436" i="7"/>
  <c r="I436" i="7"/>
  <c r="J436" i="7"/>
  <c r="K436" i="7"/>
  <c r="L436" i="7"/>
  <c r="M436" i="7"/>
  <c r="W436" i="7"/>
  <c r="D437" i="7"/>
  <c r="E437" i="7"/>
  <c r="H437" i="7"/>
  <c r="I437" i="7"/>
  <c r="J437" i="7"/>
  <c r="K437" i="7"/>
  <c r="L437" i="7"/>
  <c r="M437" i="7"/>
  <c r="W437" i="7"/>
  <c r="D438" i="7"/>
  <c r="E438" i="7"/>
  <c r="H438" i="7"/>
  <c r="I438" i="7"/>
  <c r="J438" i="7"/>
  <c r="K438" i="7"/>
  <c r="L438" i="7"/>
  <c r="M438" i="7"/>
  <c r="W438" i="7"/>
  <c r="D439" i="7"/>
  <c r="E439" i="7"/>
  <c r="H439" i="7"/>
  <c r="I439" i="7"/>
  <c r="J439" i="7"/>
  <c r="K439" i="7"/>
  <c r="L439" i="7"/>
  <c r="M439" i="7"/>
  <c r="W439" i="7"/>
  <c r="D440" i="7"/>
  <c r="E440" i="7"/>
  <c r="H440" i="7"/>
  <c r="I440" i="7"/>
  <c r="J440" i="7"/>
  <c r="K440" i="7"/>
  <c r="L440" i="7"/>
  <c r="M440" i="7"/>
  <c r="W440" i="7"/>
  <c r="D441" i="7"/>
  <c r="E441" i="7"/>
  <c r="H441" i="7"/>
  <c r="I441" i="7"/>
  <c r="J441" i="7"/>
  <c r="K441" i="7"/>
  <c r="L441" i="7"/>
  <c r="M441" i="7"/>
  <c r="W441" i="7"/>
  <c r="D442" i="7"/>
  <c r="E442" i="7"/>
  <c r="H442" i="7"/>
  <c r="I442" i="7"/>
  <c r="J442" i="7"/>
  <c r="K442" i="7"/>
  <c r="L442" i="7"/>
  <c r="M442" i="7"/>
  <c r="W442" i="7"/>
  <c r="D443" i="7"/>
  <c r="E443" i="7"/>
  <c r="H443" i="7"/>
  <c r="I443" i="7"/>
  <c r="J443" i="7"/>
  <c r="K443" i="7"/>
  <c r="L443" i="7"/>
  <c r="M443" i="7"/>
  <c r="W443" i="7"/>
  <c r="D444" i="7"/>
  <c r="E444" i="7"/>
  <c r="H444" i="7"/>
  <c r="I444" i="7"/>
  <c r="J444" i="7"/>
  <c r="K444" i="7"/>
  <c r="L444" i="7"/>
  <c r="M444" i="7"/>
  <c r="W444" i="7"/>
  <c r="D445" i="7"/>
  <c r="E445" i="7"/>
  <c r="H445" i="7"/>
  <c r="I445" i="7"/>
  <c r="J445" i="7"/>
  <c r="K445" i="7"/>
  <c r="L445" i="7"/>
  <c r="M445" i="7"/>
  <c r="W445" i="7"/>
  <c r="D446" i="7"/>
  <c r="E446" i="7"/>
  <c r="H446" i="7"/>
  <c r="I446" i="7"/>
  <c r="J446" i="7"/>
  <c r="K446" i="7"/>
  <c r="L446" i="7"/>
  <c r="M446" i="7"/>
  <c r="W446" i="7"/>
  <c r="D447" i="7"/>
  <c r="E447" i="7"/>
  <c r="H447" i="7"/>
  <c r="I447" i="7"/>
  <c r="J447" i="7"/>
  <c r="K447" i="7"/>
  <c r="L447" i="7"/>
  <c r="M447" i="7"/>
  <c r="W447" i="7"/>
  <c r="D448" i="7"/>
  <c r="E448" i="7"/>
  <c r="H448" i="7"/>
  <c r="I448" i="7"/>
  <c r="J448" i="7"/>
  <c r="K448" i="7"/>
  <c r="L448" i="7"/>
  <c r="M448" i="7"/>
  <c r="W448" i="7"/>
  <c r="D449" i="7"/>
  <c r="E449" i="7"/>
  <c r="H449" i="7"/>
  <c r="I449" i="7"/>
  <c r="J449" i="7"/>
  <c r="K449" i="7"/>
  <c r="L449" i="7"/>
  <c r="M449" i="7"/>
  <c r="W449" i="7"/>
  <c r="D450" i="7"/>
  <c r="E450" i="7"/>
  <c r="H450" i="7"/>
  <c r="I450" i="7"/>
  <c r="J450" i="7"/>
  <c r="K450" i="7"/>
  <c r="L450" i="7"/>
  <c r="M450" i="7"/>
  <c r="W450" i="7"/>
  <c r="D451" i="7"/>
  <c r="E451" i="7"/>
  <c r="H451" i="7"/>
  <c r="I451" i="7"/>
  <c r="J451" i="7"/>
  <c r="K451" i="7"/>
  <c r="L451" i="7"/>
  <c r="M451" i="7"/>
  <c r="W451" i="7"/>
  <c r="D452" i="7"/>
  <c r="E452" i="7"/>
  <c r="H452" i="7"/>
  <c r="I452" i="7"/>
  <c r="J452" i="7"/>
  <c r="K452" i="7"/>
  <c r="L452" i="7"/>
  <c r="M452" i="7"/>
  <c r="W452" i="7"/>
  <c r="D453" i="7"/>
  <c r="E453" i="7"/>
  <c r="H453" i="7"/>
  <c r="I453" i="7"/>
  <c r="J453" i="7"/>
  <c r="K453" i="7"/>
  <c r="L453" i="7"/>
  <c r="M453" i="7"/>
  <c r="W453" i="7"/>
  <c r="D454" i="7"/>
  <c r="E454" i="7"/>
  <c r="H454" i="7"/>
  <c r="I454" i="7"/>
  <c r="J454" i="7"/>
  <c r="K454" i="7"/>
  <c r="L454" i="7"/>
  <c r="M454" i="7"/>
  <c r="W454" i="7"/>
  <c r="D455" i="7"/>
  <c r="E455" i="7"/>
  <c r="H455" i="7"/>
  <c r="I455" i="7"/>
  <c r="J455" i="7"/>
  <c r="K455" i="7"/>
  <c r="L455" i="7"/>
  <c r="M455" i="7"/>
  <c r="W455" i="7"/>
  <c r="D456" i="7"/>
  <c r="E456" i="7"/>
  <c r="H456" i="7"/>
  <c r="I456" i="7"/>
  <c r="J456" i="7"/>
  <c r="K456" i="7"/>
  <c r="L456" i="7"/>
  <c r="M456" i="7"/>
  <c r="W456" i="7"/>
  <c r="D457" i="7"/>
  <c r="E457" i="7"/>
  <c r="H457" i="7"/>
  <c r="I457" i="7"/>
  <c r="J457" i="7"/>
  <c r="K457" i="7"/>
  <c r="L457" i="7"/>
  <c r="M457" i="7"/>
  <c r="W457" i="7"/>
  <c r="D458" i="7"/>
  <c r="E458" i="7"/>
  <c r="H458" i="7"/>
  <c r="I458" i="7"/>
  <c r="J458" i="7"/>
  <c r="K458" i="7"/>
  <c r="L458" i="7"/>
  <c r="M458" i="7"/>
  <c r="W458" i="7"/>
  <c r="D459" i="7"/>
  <c r="E459" i="7"/>
  <c r="H459" i="7"/>
  <c r="I459" i="7"/>
  <c r="J459" i="7"/>
  <c r="K459" i="7"/>
  <c r="L459" i="7"/>
  <c r="M459" i="7"/>
  <c r="W459" i="7"/>
  <c r="D460" i="7"/>
  <c r="E460" i="7"/>
  <c r="H460" i="7"/>
  <c r="I460" i="7"/>
  <c r="J460" i="7"/>
  <c r="K460" i="7"/>
  <c r="L460" i="7"/>
  <c r="M460" i="7"/>
  <c r="W460" i="7"/>
  <c r="D461" i="7"/>
  <c r="E461" i="7"/>
  <c r="H461" i="7"/>
  <c r="I461" i="7"/>
  <c r="J461" i="7"/>
  <c r="K461" i="7"/>
  <c r="L461" i="7"/>
  <c r="M461" i="7"/>
  <c r="W461" i="7"/>
  <c r="D462" i="7"/>
  <c r="E462" i="7"/>
  <c r="H462" i="7"/>
  <c r="I462" i="7"/>
  <c r="J462" i="7"/>
  <c r="K462" i="7"/>
  <c r="L462" i="7"/>
  <c r="M462" i="7"/>
  <c r="W462" i="7"/>
  <c r="D463" i="7"/>
  <c r="E463" i="7"/>
  <c r="H463" i="7"/>
  <c r="I463" i="7"/>
  <c r="J463" i="7"/>
  <c r="K463" i="7"/>
  <c r="L463" i="7"/>
  <c r="M463" i="7"/>
  <c r="W463" i="7"/>
  <c r="D464" i="7"/>
  <c r="E464" i="7"/>
  <c r="H464" i="7"/>
  <c r="I464" i="7"/>
  <c r="J464" i="7"/>
  <c r="K464" i="7"/>
  <c r="L464" i="7"/>
  <c r="M464" i="7"/>
  <c r="W464" i="7"/>
  <c r="D465" i="7"/>
  <c r="E465" i="7"/>
  <c r="H465" i="7"/>
  <c r="I465" i="7"/>
  <c r="J465" i="7"/>
  <c r="K465" i="7"/>
  <c r="L465" i="7"/>
  <c r="M465" i="7"/>
  <c r="W465" i="7"/>
  <c r="D466" i="7"/>
  <c r="E466" i="7"/>
  <c r="H466" i="7"/>
  <c r="I466" i="7"/>
  <c r="J466" i="7"/>
  <c r="K466" i="7"/>
  <c r="L466" i="7"/>
  <c r="M466" i="7"/>
  <c r="W466" i="7"/>
  <c r="D467" i="7"/>
  <c r="E467" i="7"/>
  <c r="H467" i="7"/>
  <c r="I467" i="7"/>
  <c r="J467" i="7"/>
  <c r="K467" i="7"/>
  <c r="L467" i="7"/>
  <c r="M467" i="7"/>
  <c r="W467" i="7"/>
  <c r="D468" i="7"/>
  <c r="E468" i="7"/>
  <c r="H468" i="7"/>
  <c r="I468" i="7"/>
  <c r="J468" i="7"/>
  <c r="K468" i="7"/>
  <c r="L468" i="7"/>
  <c r="M468" i="7"/>
  <c r="W468" i="7"/>
  <c r="D469" i="7"/>
  <c r="E469" i="7"/>
  <c r="H469" i="7"/>
  <c r="I469" i="7"/>
  <c r="J469" i="7"/>
  <c r="K469" i="7"/>
  <c r="L469" i="7"/>
  <c r="M469" i="7"/>
  <c r="W469" i="7"/>
  <c r="D470" i="7"/>
  <c r="E470" i="7"/>
  <c r="H470" i="7"/>
  <c r="I470" i="7"/>
  <c r="J470" i="7"/>
  <c r="K470" i="7"/>
  <c r="L470" i="7"/>
  <c r="M470" i="7"/>
  <c r="W470" i="7"/>
  <c r="D471" i="7"/>
  <c r="E471" i="7"/>
  <c r="H471" i="7"/>
  <c r="I471" i="7"/>
  <c r="J471" i="7"/>
  <c r="K471" i="7"/>
  <c r="L471" i="7"/>
  <c r="M471" i="7"/>
  <c r="W471" i="7"/>
  <c r="D472" i="7"/>
  <c r="E472" i="7"/>
  <c r="H472" i="7"/>
  <c r="I472" i="7"/>
  <c r="J472" i="7"/>
  <c r="K472" i="7"/>
  <c r="L472" i="7"/>
  <c r="M472" i="7"/>
  <c r="W472" i="7"/>
  <c r="D473" i="7"/>
  <c r="E473" i="7"/>
  <c r="H473" i="7"/>
  <c r="I473" i="7"/>
  <c r="J473" i="7"/>
  <c r="K473" i="7"/>
  <c r="L473" i="7"/>
  <c r="M473" i="7"/>
  <c r="W473" i="7"/>
  <c r="D474" i="7"/>
  <c r="E474" i="7"/>
  <c r="H474" i="7"/>
  <c r="I474" i="7"/>
  <c r="J474" i="7"/>
  <c r="K474" i="7"/>
  <c r="L474" i="7"/>
  <c r="M474" i="7"/>
  <c r="W474" i="7"/>
  <c r="D475" i="7"/>
  <c r="E475" i="7"/>
  <c r="H475" i="7"/>
  <c r="I475" i="7"/>
  <c r="J475" i="7"/>
  <c r="K475" i="7"/>
  <c r="L475" i="7"/>
  <c r="M475" i="7"/>
  <c r="W475" i="7"/>
  <c r="D476" i="7"/>
  <c r="E476" i="7"/>
  <c r="H476" i="7"/>
  <c r="I476" i="7"/>
  <c r="J476" i="7"/>
  <c r="K476" i="7"/>
  <c r="L476" i="7"/>
  <c r="M476" i="7"/>
  <c r="W476" i="7"/>
  <c r="D477" i="7"/>
  <c r="E477" i="7"/>
  <c r="H477" i="7"/>
  <c r="I477" i="7"/>
  <c r="J477" i="7"/>
  <c r="K477" i="7"/>
  <c r="L477" i="7"/>
  <c r="M477" i="7"/>
  <c r="W477" i="7"/>
  <c r="D478" i="7"/>
  <c r="E478" i="7"/>
  <c r="H478" i="7"/>
  <c r="I478" i="7"/>
  <c r="J478" i="7"/>
  <c r="K478" i="7"/>
  <c r="L478" i="7"/>
  <c r="M478" i="7"/>
  <c r="W478" i="7"/>
  <c r="D479" i="7"/>
  <c r="E479" i="7"/>
  <c r="H479" i="7"/>
  <c r="I479" i="7"/>
  <c r="J479" i="7"/>
  <c r="K479" i="7"/>
  <c r="L479" i="7"/>
  <c r="M479" i="7"/>
  <c r="W479" i="7"/>
  <c r="D480" i="7"/>
  <c r="E480" i="7"/>
  <c r="H480" i="7"/>
  <c r="I480" i="7"/>
  <c r="J480" i="7"/>
  <c r="K480" i="7"/>
  <c r="L480" i="7"/>
  <c r="M480" i="7"/>
  <c r="W480" i="7"/>
  <c r="D481" i="7"/>
  <c r="E481" i="7"/>
  <c r="H481" i="7"/>
  <c r="I481" i="7"/>
  <c r="J481" i="7"/>
  <c r="K481" i="7"/>
  <c r="L481" i="7"/>
  <c r="M481" i="7"/>
  <c r="W481" i="7"/>
  <c r="D482" i="7"/>
  <c r="E482" i="7"/>
  <c r="H482" i="7"/>
  <c r="I482" i="7"/>
  <c r="J482" i="7"/>
  <c r="K482" i="7"/>
  <c r="L482" i="7"/>
  <c r="M482" i="7"/>
  <c r="W482" i="7"/>
  <c r="D483" i="7"/>
  <c r="E483" i="7"/>
  <c r="H483" i="7"/>
  <c r="I483" i="7"/>
  <c r="J483" i="7"/>
  <c r="K483" i="7"/>
  <c r="L483" i="7"/>
  <c r="M483" i="7"/>
  <c r="W483" i="7"/>
  <c r="D484" i="7"/>
  <c r="E484" i="7"/>
  <c r="H484" i="7"/>
  <c r="I484" i="7"/>
  <c r="J484" i="7"/>
  <c r="K484" i="7"/>
  <c r="L484" i="7"/>
  <c r="M484" i="7"/>
  <c r="W484" i="7"/>
  <c r="D485" i="7"/>
  <c r="E485" i="7"/>
  <c r="H485" i="7"/>
  <c r="I485" i="7"/>
  <c r="J485" i="7"/>
  <c r="K485" i="7"/>
  <c r="L485" i="7"/>
  <c r="M485" i="7"/>
  <c r="W485" i="7"/>
  <c r="D486" i="7"/>
  <c r="E486" i="7"/>
  <c r="H486" i="7"/>
  <c r="I486" i="7"/>
  <c r="J486" i="7"/>
  <c r="K486" i="7"/>
  <c r="L486" i="7"/>
  <c r="M486" i="7"/>
  <c r="W486" i="7"/>
  <c r="D487" i="7"/>
  <c r="E487" i="7"/>
  <c r="H487" i="7"/>
  <c r="I487" i="7"/>
  <c r="J487" i="7"/>
  <c r="K487" i="7"/>
  <c r="L487" i="7"/>
  <c r="M487" i="7"/>
  <c r="W487" i="7"/>
  <c r="D488" i="7"/>
  <c r="E488" i="7"/>
  <c r="H488" i="7"/>
  <c r="I488" i="7"/>
  <c r="J488" i="7"/>
  <c r="K488" i="7"/>
  <c r="L488" i="7"/>
  <c r="M488" i="7"/>
  <c r="W488" i="7"/>
  <c r="D489" i="7"/>
  <c r="E489" i="7"/>
  <c r="H489" i="7"/>
  <c r="I489" i="7"/>
  <c r="J489" i="7"/>
  <c r="K489" i="7"/>
  <c r="L489" i="7"/>
  <c r="M489" i="7"/>
  <c r="W489" i="7"/>
  <c r="D490" i="7"/>
  <c r="E490" i="7"/>
  <c r="H490" i="7"/>
  <c r="I490" i="7"/>
  <c r="J490" i="7"/>
  <c r="K490" i="7"/>
  <c r="L490" i="7"/>
  <c r="M490" i="7"/>
  <c r="W490" i="7"/>
  <c r="D491" i="7"/>
  <c r="E491" i="7"/>
  <c r="H491" i="7"/>
  <c r="I491" i="7"/>
  <c r="J491" i="7"/>
  <c r="K491" i="7"/>
  <c r="L491" i="7"/>
  <c r="M491" i="7"/>
  <c r="W491" i="7"/>
  <c r="D492" i="7"/>
  <c r="E492" i="7"/>
  <c r="H492" i="7"/>
  <c r="I492" i="7"/>
  <c r="J492" i="7"/>
  <c r="K492" i="7"/>
  <c r="L492" i="7"/>
  <c r="M492" i="7"/>
  <c r="W492" i="7"/>
  <c r="D493" i="7"/>
  <c r="E493" i="7"/>
  <c r="H493" i="7"/>
  <c r="I493" i="7"/>
  <c r="J493" i="7"/>
  <c r="K493" i="7"/>
  <c r="L493" i="7"/>
  <c r="M493" i="7"/>
  <c r="W493" i="7"/>
  <c r="D494" i="7"/>
  <c r="E494" i="7"/>
  <c r="H494" i="7"/>
  <c r="I494" i="7"/>
  <c r="J494" i="7"/>
  <c r="K494" i="7"/>
  <c r="L494" i="7"/>
  <c r="M494" i="7"/>
  <c r="W494" i="7"/>
  <c r="D495" i="7"/>
  <c r="E495" i="7"/>
  <c r="H495" i="7"/>
  <c r="I495" i="7"/>
  <c r="J495" i="7"/>
  <c r="K495" i="7"/>
  <c r="L495" i="7"/>
  <c r="M495" i="7"/>
  <c r="W495" i="7"/>
  <c r="D496" i="7"/>
  <c r="E496" i="7"/>
  <c r="H496" i="7"/>
  <c r="I496" i="7"/>
  <c r="J496" i="7"/>
  <c r="K496" i="7"/>
  <c r="L496" i="7"/>
  <c r="M496" i="7"/>
  <c r="W496" i="7"/>
  <c r="D497" i="7"/>
  <c r="E497" i="7"/>
  <c r="H497" i="7"/>
  <c r="I497" i="7"/>
  <c r="J497" i="7"/>
  <c r="K497" i="7"/>
  <c r="L497" i="7"/>
  <c r="M497" i="7"/>
  <c r="W497" i="7"/>
  <c r="D498" i="7"/>
  <c r="E498" i="7"/>
  <c r="H498" i="7"/>
  <c r="I498" i="7"/>
  <c r="J498" i="7"/>
  <c r="K498" i="7"/>
  <c r="L498" i="7"/>
  <c r="M498" i="7"/>
  <c r="W498" i="7"/>
  <c r="D499" i="7"/>
  <c r="E499" i="7"/>
  <c r="H499" i="7"/>
  <c r="I499" i="7"/>
  <c r="J499" i="7"/>
  <c r="K499" i="7"/>
  <c r="L499" i="7"/>
  <c r="M499" i="7"/>
  <c r="W499" i="7"/>
  <c r="D500" i="7"/>
  <c r="E500" i="7"/>
  <c r="H500" i="7"/>
  <c r="I500" i="7"/>
  <c r="J500" i="7"/>
  <c r="K500" i="7"/>
  <c r="L500" i="7"/>
  <c r="M500" i="7"/>
  <c r="W500" i="7"/>
  <c r="D501" i="7"/>
  <c r="E501" i="7"/>
  <c r="H501" i="7"/>
  <c r="I501" i="7"/>
  <c r="J501" i="7"/>
  <c r="K501" i="7"/>
  <c r="L501" i="7"/>
  <c r="M501" i="7"/>
  <c r="W501" i="7"/>
  <c r="D502" i="7"/>
  <c r="E502" i="7"/>
  <c r="H502" i="7"/>
  <c r="I502" i="7"/>
  <c r="J502" i="7"/>
  <c r="K502" i="7"/>
  <c r="L502" i="7"/>
  <c r="M502" i="7"/>
  <c r="W502" i="7"/>
  <c r="D503" i="7"/>
  <c r="E503" i="7"/>
  <c r="H503" i="7"/>
  <c r="I503" i="7"/>
  <c r="J503" i="7"/>
  <c r="K503" i="7"/>
  <c r="L503" i="7"/>
  <c r="M503" i="7"/>
  <c r="W503" i="7"/>
  <c r="D504" i="7"/>
  <c r="E504" i="7"/>
  <c r="H504" i="7"/>
  <c r="I504" i="7"/>
  <c r="J504" i="7"/>
  <c r="K504" i="7"/>
  <c r="L504" i="7"/>
  <c r="M504" i="7"/>
  <c r="W504" i="7"/>
  <c r="D505" i="7"/>
  <c r="E505" i="7"/>
  <c r="H505" i="7"/>
  <c r="I505" i="7"/>
  <c r="J505" i="7"/>
  <c r="K505" i="7"/>
  <c r="L505" i="7"/>
  <c r="M505" i="7"/>
  <c r="W505" i="7"/>
  <c r="D506" i="7"/>
  <c r="E506" i="7"/>
  <c r="H506" i="7"/>
  <c r="I506" i="7"/>
  <c r="J506" i="7"/>
  <c r="K506" i="7"/>
  <c r="L506" i="7"/>
  <c r="M506" i="7"/>
  <c r="W506" i="7"/>
  <c r="D507" i="7"/>
  <c r="E507" i="7"/>
  <c r="H507" i="7"/>
  <c r="I507" i="7"/>
  <c r="J507" i="7"/>
  <c r="K507" i="7"/>
  <c r="L507" i="7"/>
  <c r="M507" i="7"/>
  <c r="W507" i="7"/>
  <c r="D508" i="7"/>
  <c r="E508" i="7"/>
  <c r="H508" i="7"/>
  <c r="I508" i="7"/>
  <c r="J508" i="7"/>
  <c r="K508" i="7"/>
  <c r="L508" i="7"/>
  <c r="M508" i="7"/>
  <c r="W508" i="7"/>
  <c r="D509" i="7"/>
  <c r="E509" i="7"/>
  <c r="H509" i="7"/>
  <c r="I509" i="7"/>
  <c r="J509" i="7"/>
  <c r="K509" i="7"/>
  <c r="L509" i="7"/>
  <c r="M509" i="7"/>
  <c r="W509" i="7"/>
  <c r="D510" i="7"/>
  <c r="E510" i="7"/>
  <c r="H510" i="7"/>
  <c r="I510" i="7"/>
  <c r="J510" i="7"/>
  <c r="K510" i="7"/>
  <c r="L510" i="7"/>
  <c r="M510" i="7"/>
  <c r="W510" i="7"/>
  <c r="D511" i="7"/>
  <c r="E511" i="7"/>
  <c r="H511" i="7"/>
  <c r="I511" i="7"/>
  <c r="J511" i="7"/>
  <c r="K511" i="7"/>
  <c r="L511" i="7"/>
  <c r="M511" i="7"/>
  <c r="W511" i="7"/>
  <c r="D512" i="7"/>
  <c r="E512" i="7"/>
  <c r="H512" i="7"/>
  <c r="I512" i="7"/>
  <c r="J512" i="7"/>
  <c r="K512" i="7"/>
  <c r="L512" i="7"/>
  <c r="M512" i="7"/>
  <c r="W512" i="7"/>
  <c r="D513" i="7"/>
  <c r="E513" i="7"/>
  <c r="H513" i="7"/>
  <c r="I513" i="7"/>
  <c r="J513" i="7"/>
  <c r="K513" i="7"/>
  <c r="L513" i="7"/>
  <c r="M513" i="7"/>
  <c r="W513" i="7"/>
  <c r="D514" i="7"/>
  <c r="E514" i="7"/>
  <c r="H514" i="7"/>
  <c r="I514" i="7"/>
  <c r="J514" i="7"/>
  <c r="K514" i="7"/>
  <c r="L514" i="7"/>
  <c r="M514" i="7"/>
  <c r="W514" i="7"/>
  <c r="D515" i="7"/>
  <c r="E515" i="7"/>
  <c r="H515" i="7"/>
  <c r="I515" i="7"/>
  <c r="J515" i="7"/>
  <c r="K515" i="7"/>
  <c r="L515" i="7"/>
  <c r="M515" i="7"/>
  <c r="W515" i="7"/>
  <c r="D516" i="7"/>
  <c r="E516" i="7"/>
  <c r="H516" i="7"/>
  <c r="I516" i="7"/>
  <c r="J516" i="7"/>
  <c r="K516" i="7"/>
  <c r="L516" i="7"/>
  <c r="M516" i="7"/>
  <c r="W516" i="7"/>
  <c r="D517" i="7"/>
  <c r="E517" i="7"/>
  <c r="H517" i="7"/>
  <c r="I517" i="7"/>
  <c r="J517" i="7"/>
  <c r="K517" i="7"/>
  <c r="L517" i="7"/>
  <c r="M517" i="7"/>
  <c r="W517" i="7"/>
  <c r="D518" i="7"/>
  <c r="E518" i="7"/>
  <c r="H518" i="7"/>
  <c r="I518" i="7"/>
  <c r="J518" i="7"/>
  <c r="K518" i="7"/>
  <c r="L518" i="7"/>
  <c r="M518" i="7"/>
  <c r="W518" i="7"/>
  <c r="D519" i="7"/>
  <c r="E519" i="7"/>
  <c r="H519" i="7"/>
  <c r="I519" i="7"/>
  <c r="J519" i="7"/>
  <c r="K519" i="7"/>
  <c r="L519" i="7"/>
  <c r="M519" i="7"/>
  <c r="W519" i="7"/>
  <c r="D520" i="7"/>
  <c r="E520" i="7"/>
  <c r="H520" i="7"/>
  <c r="I520" i="7"/>
  <c r="J520" i="7"/>
  <c r="K520" i="7"/>
  <c r="L520" i="7"/>
  <c r="M520" i="7"/>
  <c r="W520" i="7"/>
  <c r="D521" i="7"/>
  <c r="E521" i="7"/>
  <c r="H521" i="7"/>
  <c r="I521" i="7"/>
  <c r="J521" i="7"/>
  <c r="K521" i="7"/>
  <c r="L521" i="7"/>
  <c r="M521" i="7"/>
  <c r="W521" i="7"/>
  <c r="D522" i="7"/>
  <c r="E522" i="7"/>
  <c r="H522" i="7"/>
  <c r="I522" i="7"/>
  <c r="J522" i="7"/>
  <c r="K522" i="7"/>
  <c r="L522" i="7"/>
  <c r="M522" i="7"/>
  <c r="W522" i="7"/>
  <c r="D523" i="7"/>
  <c r="E523" i="7"/>
  <c r="H523" i="7"/>
  <c r="I523" i="7"/>
  <c r="J523" i="7"/>
  <c r="K523" i="7"/>
  <c r="L523" i="7"/>
  <c r="M523" i="7"/>
  <c r="W523" i="7"/>
  <c r="D524" i="7"/>
  <c r="E524" i="7"/>
  <c r="H524" i="7"/>
  <c r="I524" i="7"/>
  <c r="J524" i="7"/>
  <c r="K524" i="7"/>
  <c r="L524" i="7"/>
  <c r="M524" i="7"/>
  <c r="W524" i="7"/>
  <c r="D525" i="7"/>
  <c r="E525" i="7"/>
  <c r="H525" i="7"/>
  <c r="I525" i="7"/>
  <c r="J525" i="7"/>
  <c r="K525" i="7"/>
  <c r="L525" i="7"/>
  <c r="M525" i="7"/>
  <c r="W525" i="7"/>
  <c r="D526" i="7"/>
  <c r="E526" i="7"/>
  <c r="H526" i="7"/>
  <c r="I526" i="7"/>
  <c r="J526" i="7"/>
  <c r="K526" i="7"/>
  <c r="L526" i="7"/>
  <c r="M526" i="7"/>
  <c r="W526" i="7"/>
  <c r="D527" i="7"/>
  <c r="E527" i="7"/>
  <c r="H527" i="7"/>
  <c r="I527" i="7"/>
  <c r="J527" i="7"/>
  <c r="K527" i="7"/>
  <c r="L527" i="7"/>
  <c r="M527" i="7"/>
  <c r="N527" i="7"/>
  <c r="W527" i="7"/>
  <c r="D528" i="7"/>
  <c r="E528" i="7"/>
  <c r="H528" i="7"/>
  <c r="I528" i="7"/>
  <c r="J528" i="7"/>
  <c r="K528" i="7"/>
  <c r="L528" i="7"/>
  <c r="M528" i="7"/>
  <c r="W528" i="7"/>
  <c r="D529" i="7"/>
  <c r="E529" i="7"/>
  <c r="H529" i="7"/>
  <c r="I529" i="7"/>
  <c r="J529" i="7"/>
  <c r="K529" i="7"/>
  <c r="L529" i="7"/>
  <c r="M529" i="7"/>
  <c r="W529" i="7"/>
  <c r="D530" i="7"/>
  <c r="E530" i="7"/>
  <c r="H530" i="7"/>
  <c r="I530" i="7"/>
  <c r="J530" i="7"/>
  <c r="K530" i="7"/>
  <c r="L530" i="7"/>
  <c r="M530" i="7"/>
  <c r="W530" i="7"/>
  <c r="D531" i="7"/>
  <c r="E531" i="7"/>
  <c r="H531" i="7"/>
  <c r="I531" i="7"/>
  <c r="J531" i="7"/>
  <c r="K531" i="7"/>
  <c r="L531" i="7"/>
  <c r="M531" i="7"/>
  <c r="W531" i="7"/>
  <c r="D532" i="7"/>
  <c r="E532" i="7"/>
  <c r="H532" i="7"/>
  <c r="I532" i="7"/>
  <c r="J532" i="7"/>
  <c r="K532" i="7"/>
  <c r="L532" i="7"/>
  <c r="M532" i="7"/>
  <c r="W532" i="7"/>
  <c r="D533" i="7"/>
  <c r="E533" i="7"/>
  <c r="H533" i="7"/>
  <c r="I533" i="7"/>
  <c r="J533" i="7"/>
  <c r="K533" i="7"/>
  <c r="L533" i="7"/>
  <c r="M533" i="7"/>
  <c r="W533" i="7"/>
  <c r="D534" i="7"/>
  <c r="E534" i="7"/>
  <c r="H534" i="7"/>
  <c r="I534" i="7"/>
  <c r="J534" i="7"/>
  <c r="K534" i="7"/>
  <c r="L534" i="7"/>
  <c r="M534" i="7"/>
  <c r="W534" i="7"/>
  <c r="D535" i="7"/>
  <c r="E535" i="7"/>
  <c r="H535" i="7"/>
  <c r="I535" i="7"/>
  <c r="J535" i="7"/>
  <c r="K535" i="7"/>
  <c r="L535" i="7"/>
  <c r="M535" i="7"/>
  <c r="W535" i="7"/>
  <c r="D536" i="7"/>
  <c r="E536" i="7"/>
  <c r="H536" i="7"/>
  <c r="I536" i="7"/>
  <c r="J536" i="7"/>
  <c r="K536" i="7"/>
  <c r="L536" i="7"/>
  <c r="M536" i="7"/>
  <c r="W536" i="7"/>
  <c r="D537" i="7"/>
  <c r="E537" i="7"/>
  <c r="H537" i="7"/>
  <c r="I537" i="7"/>
  <c r="J537" i="7"/>
  <c r="K537" i="7"/>
  <c r="L537" i="7"/>
  <c r="M537" i="7"/>
  <c r="W537" i="7"/>
  <c r="D538" i="7"/>
  <c r="E538" i="7"/>
  <c r="H538" i="7"/>
  <c r="I538" i="7"/>
  <c r="J538" i="7"/>
  <c r="K538" i="7"/>
  <c r="L538" i="7"/>
  <c r="M538" i="7"/>
  <c r="W538" i="7"/>
  <c r="D539" i="7"/>
  <c r="E539" i="7"/>
  <c r="H539" i="7"/>
  <c r="I539" i="7"/>
  <c r="J539" i="7"/>
  <c r="K539" i="7"/>
  <c r="L539" i="7"/>
  <c r="M539" i="7"/>
  <c r="W539" i="7"/>
  <c r="D540" i="7"/>
  <c r="E540" i="7"/>
  <c r="H540" i="7"/>
  <c r="I540" i="7"/>
  <c r="J540" i="7"/>
  <c r="K540" i="7"/>
  <c r="L540" i="7"/>
  <c r="M540" i="7"/>
  <c r="O540" i="7"/>
  <c r="W540" i="7"/>
  <c r="D541" i="7"/>
  <c r="E541" i="7"/>
  <c r="H541" i="7"/>
  <c r="I541" i="7"/>
  <c r="J541" i="7"/>
  <c r="K541" i="7"/>
  <c r="L541" i="7"/>
  <c r="M541" i="7"/>
  <c r="W541" i="7"/>
  <c r="D542" i="7"/>
  <c r="E542" i="7"/>
  <c r="H542" i="7"/>
  <c r="I542" i="7"/>
  <c r="J542" i="7"/>
  <c r="K542" i="7"/>
  <c r="L542" i="7"/>
  <c r="M542" i="7"/>
  <c r="W542" i="7"/>
  <c r="D543" i="7"/>
  <c r="E543" i="7"/>
  <c r="H543" i="7"/>
  <c r="I543" i="7"/>
  <c r="J543" i="7"/>
  <c r="K543" i="7"/>
  <c r="L543" i="7"/>
  <c r="M543" i="7"/>
  <c r="W543" i="7"/>
  <c r="D544" i="7"/>
  <c r="E544" i="7"/>
  <c r="H544" i="7"/>
  <c r="I544" i="7"/>
  <c r="J544" i="7"/>
  <c r="K544" i="7"/>
  <c r="L544" i="7"/>
  <c r="M544" i="7"/>
  <c r="W544" i="7"/>
  <c r="D545" i="7"/>
  <c r="E545" i="7"/>
  <c r="H545" i="7"/>
  <c r="I545" i="7"/>
  <c r="J545" i="7"/>
  <c r="K545" i="7"/>
  <c r="L545" i="7"/>
  <c r="M545" i="7"/>
  <c r="W545" i="7"/>
  <c r="D546" i="7"/>
  <c r="E546" i="7"/>
  <c r="H546" i="7"/>
  <c r="I546" i="7"/>
  <c r="J546" i="7"/>
  <c r="K546" i="7"/>
  <c r="L546" i="7"/>
  <c r="M546" i="7"/>
  <c r="W546" i="7"/>
  <c r="D547" i="7"/>
  <c r="E547" i="7"/>
  <c r="H547" i="7"/>
  <c r="I547" i="7"/>
  <c r="J547" i="7"/>
  <c r="K547" i="7"/>
  <c r="L547" i="7"/>
  <c r="M547" i="7"/>
  <c r="W547" i="7"/>
  <c r="D548" i="7"/>
  <c r="E548" i="7"/>
  <c r="H548" i="7"/>
  <c r="I548" i="7"/>
  <c r="J548" i="7"/>
  <c r="K548" i="7"/>
  <c r="L548" i="7"/>
  <c r="M548" i="7"/>
  <c r="W548" i="7"/>
  <c r="D549" i="7"/>
  <c r="E549" i="7"/>
  <c r="H549" i="7"/>
  <c r="I549" i="7"/>
  <c r="J549" i="7"/>
  <c r="K549" i="7"/>
  <c r="L549" i="7"/>
  <c r="M549" i="7"/>
  <c r="W549" i="7"/>
  <c r="D550" i="7"/>
  <c r="E550" i="7"/>
  <c r="H550" i="7"/>
  <c r="I550" i="7"/>
  <c r="J550" i="7"/>
  <c r="K550" i="7"/>
  <c r="L550" i="7"/>
  <c r="M550" i="7"/>
  <c r="W550" i="7"/>
  <c r="D551" i="7"/>
  <c r="E551" i="7"/>
  <c r="H551" i="7"/>
  <c r="I551" i="7"/>
  <c r="J551" i="7"/>
  <c r="K551" i="7"/>
  <c r="L551" i="7"/>
  <c r="M551" i="7"/>
  <c r="W551" i="7"/>
  <c r="D552" i="7"/>
  <c r="E552" i="7"/>
  <c r="H552" i="7"/>
  <c r="I552" i="7"/>
  <c r="J552" i="7"/>
  <c r="K552" i="7"/>
  <c r="L552" i="7"/>
  <c r="M552" i="7"/>
  <c r="W552" i="7"/>
  <c r="D553" i="7"/>
  <c r="E553" i="7"/>
  <c r="H553" i="7"/>
  <c r="I553" i="7"/>
  <c r="J553" i="7"/>
  <c r="K553" i="7"/>
  <c r="L553" i="7"/>
  <c r="M553" i="7"/>
  <c r="W553" i="7"/>
  <c r="D554" i="7"/>
  <c r="E554" i="7"/>
  <c r="H554" i="7"/>
  <c r="I554" i="7"/>
  <c r="J554" i="7"/>
  <c r="K554" i="7"/>
  <c r="L554" i="7"/>
  <c r="M554" i="7"/>
  <c r="W554" i="7"/>
  <c r="D555" i="7"/>
  <c r="E555" i="7"/>
  <c r="H555" i="7"/>
  <c r="I555" i="7"/>
  <c r="J555" i="7"/>
  <c r="K555" i="7"/>
  <c r="L555" i="7"/>
  <c r="M555" i="7"/>
  <c r="W555" i="7"/>
  <c r="D556" i="7"/>
  <c r="E556" i="7"/>
  <c r="H556" i="7"/>
  <c r="I556" i="7"/>
  <c r="J556" i="7"/>
  <c r="K556" i="7"/>
  <c r="L556" i="7"/>
  <c r="M556" i="7"/>
  <c r="W556" i="7"/>
  <c r="D557" i="7"/>
  <c r="E557" i="7"/>
  <c r="H557" i="7"/>
  <c r="I557" i="7"/>
  <c r="J557" i="7"/>
  <c r="K557" i="7"/>
  <c r="L557" i="7"/>
  <c r="M557" i="7"/>
  <c r="W557" i="7"/>
  <c r="D558" i="7"/>
  <c r="E558" i="7"/>
  <c r="H558" i="7"/>
  <c r="I558" i="7"/>
  <c r="J558" i="7"/>
  <c r="K558" i="7"/>
  <c r="L558" i="7"/>
  <c r="M558" i="7"/>
  <c r="W558" i="7"/>
  <c r="D559" i="7"/>
  <c r="E559" i="7"/>
  <c r="H559" i="7"/>
  <c r="I559" i="7"/>
  <c r="J559" i="7"/>
  <c r="K559" i="7"/>
  <c r="L559" i="7"/>
  <c r="M559" i="7"/>
  <c r="W559" i="7"/>
  <c r="D560" i="7"/>
  <c r="E560" i="7"/>
  <c r="H560" i="7"/>
  <c r="I560" i="7"/>
  <c r="J560" i="7"/>
  <c r="K560" i="7"/>
  <c r="L560" i="7"/>
  <c r="M560" i="7"/>
  <c r="W560" i="7"/>
  <c r="D561" i="7"/>
  <c r="E561" i="7"/>
  <c r="H561" i="7"/>
  <c r="I561" i="7"/>
  <c r="J561" i="7"/>
  <c r="K561" i="7"/>
  <c r="L561" i="7"/>
  <c r="M561" i="7"/>
  <c r="W561" i="7"/>
  <c r="D562" i="7"/>
  <c r="E562" i="7"/>
  <c r="H562" i="7"/>
  <c r="I562" i="7"/>
  <c r="J562" i="7"/>
  <c r="K562" i="7"/>
  <c r="L562" i="7"/>
  <c r="M562" i="7"/>
  <c r="W562" i="7"/>
  <c r="D563" i="7"/>
  <c r="E563" i="7"/>
  <c r="H563" i="7"/>
  <c r="I563" i="7"/>
  <c r="J563" i="7"/>
  <c r="K563" i="7"/>
  <c r="L563" i="7"/>
  <c r="M563" i="7"/>
  <c r="W563" i="7"/>
  <c r="D564" i="7"/>
  <c r="E564" i="7"/>
  <c r="H564" i="7"/>
  <c r="I564" i="7"/>
  <c r="J564" i="7"/>
  <c r="K564" i="7"/>
  <c r="L564" i="7"/>
  <c r="M564" i="7"/>
  <c r="W564" i="7"/>
  <c r="D565" i="7"/>
  <c r="E565" i="7"/>
  <c r="H565" i="7"/>
  <c r="I565" i="7"/>
  <c r="J565" i="7"/>
  <c r="K565" i="7"/>
  <c r="L565" i="7"/>
  <c r="M565" i="7"/>
  <c r="W565" i="7"/>
  <c r="D566" i="7"/>
  <c r="E566" i="7"/>
  <c r="H566" i="7"/>
  <c r="I566" i="7"/>
  <c r="J566" i="7"/>
  <c r="K566" i="7"/>
  <c r="L566" i="7"/>
  <c r="M566" i="7"/>
  <c r="W566" i="7"/>
  <c r="D567" i="7"/>
  <c r="E567" i="7"/>
  <c r="H567" i="7"/>
  <c r="I567" i="7"/>
  <c r="J567" i="7"/>
  <c r="K567" i="7"/>
  <c r="L567" i="7"/>
  <c r="M567" i="7"/>
  <c r="W567" i="7"/>
  <c r="D568" i="7"/>
  <c r="E568" i="7"/>
  <c r="H568" i="7"/>
  <c r="I568" i="7"/>
  <c r="J568" i="7"/>
  <c r="K568" i="7"/>
  <c r="L568" i="7"/>
  <c r="M568" i="7"/>
  <c r="W568" i="7"/>
  <c r="D569" i="7"/>
  <c r="E569" i="7"/>
  <c r="H569" i="7"/>
  <c r="I569" i="7"/>
  <c r="J569" i="7"/>
  <c r="K569" i="7"/>
  <c r="L569" i="7"/>
  <c r="M569" i="7"/>
  <c r="W569" i="7"/>
  <c r="D570" i="7"/>
  <c r="E570" i="7"/>
  <c r="H570" i="7"/>
  <c r="I570" i="7"/>
  <c r="J570" i="7"/>
  <c r="K570" i="7"/>
  <c r="L570" i="7"/>
  <c r="M570" i="7"/>
  <c r="W570" i="7"/>
  <c r="D571" i="7"/>
  <c r="E571" i="7"/>
  <c r="H571" i="7"/>
  <c r="I571" i="7"/>
  <c r="J571" i="7"/>
  <c r="K571" i="7"/>
  <c r="L571" i="7"/>
  <c r="M571" i="7"/>
  <c r="W571" i="7"/>
  <c r="D572" i="7"/>
  <c r="E572" i="7"/>
  <c r="H572" i="7"/>
  <c r="I572" i="7"/>
  <c r="J572" i="7"/>
  <c r="K572" i="7"/>
  <c r="L572" i="7"/>
  <c r="M572" i="7"/>
  <c r="W572" i="7"/>
  <c r="D573" i="7"/>
  <c r="E573" i="7"/>
  <c r="H573" i="7"/>
  <c r="I573" i="7"/>
  <c r="J573" i="7"/>
  <c r="K573" i="7"/>
  <c r="L573" i="7"/>
  <c r="M573" i="7"/>
  <c r="W573" i="7"/>
  <c r="D574" i="7"/>
  <c r="E574" i="7"/>
  <c r="H574" i="7"/>
  <c r="I574" i="7"/>
  <c r="J574" i="7"/>
  <c r="K574" i="7"/>
  <c r="L574" i="7"/>
  <c r="M574" i="7"/>
  <c r="W574" i="7"/>
  <c r="D575" i="7"/>
  <c r="E575" i="7"/>
  <c r="H575" i="7"/>
  <c r="I575" i="7"/>
  <c r="J575" i="7"/>
  <c r="K575" i="7"/>
  <c r="L575" i="7"/>
  <c r="M575" i="7"/>
  <c r="W575" i="7"/>
  <c r="D576" i="7"/>
  <c r="E576" i="7"/>
  <c r="H576" i="7"/>
  <c r="I576" i="7"/>
  <c r="J576" i="7"/>
  <c r="K576" i="7"/>
  <c r="L576" i="7"/>
  <c r="M576" i="7"/>
  <c r="W576" i="7"/>
  <c r="D577" i="7"/>
  <c r="E577" i="7"/>
  <c r="H577" i="7"/>
  <c r="I577" i="7"/>
  <c r="J577" i="7"/>
  <c r="K577" i="7"/>
  <c r="L577" i="7"/>
  <c r="M577" i="7"/>
  <c r="W577" i="7"/>
  <c r="D578" i="7"/>
  <c r="E578" i="7"/>
  <c r="H578" i="7"/>
  <c r="I578" i="7"/>
  <c r="J578" i="7"/>
  <c r="K578" i="7"/>
  <c r="L578" i="7"/>
  <c r="M578" i="7"/>
  <c r="W578" i="7"/>
  <c r="D579" i="7"/>
  <c r="E579" i="7"/>
  <c r="H579" i="7"/>
  <c r="I579" i="7"/>
  <c r="J579" i="7"/>
  <c r="K579" i="7"/>
  <c r="L579" i="7"/>
  <c r="M579" i="7"/>
  <c r="W579" i="7"/>
  <c r="D580" i="7"/>
  <c r="E580" i="7"/>
  <c r="H580" i="7"/>
  <c r="I580" i="7"/>
  <c r="J580" i="7"/>
  <c r="K580" i="7"/>
  <c r="L580" i="7"/>
  <c r="M580" i="7"/>
  <c r="W580" i="7"/>
  <c r="D581" i="7"/>
  <c r="E581" i="7"/>
  <c r="H581" i="7"/>
  <c r="I581" i="7"/>
  <c r="J581" i="7"/>
  <c r="K581" i="7"/>
  <c r="L581" i="7"/>
  <c r="M581" i="7"/>
  <c r="W581" i="7"/>
  <c r="D582" i="7"/>
  <c r="E582" i="7"/>
  <c r="H582" i="7"/>
  <c r="I582" i="7"/>
  <c r="J582" i="7"/>
  <c r="K582" i="7"/>
  <c r="L582" i="7"/>
  <c r="M582" i="7"/>
  <c r="W582" i="7"/>
  <c r="D583" i="7"/>
  <c r="E583" i="7"/>
  <c r="H583" i="7"/>
  <c r="I583" i="7"/>
  <c r="J583" i="7"/>
  <c r="K583" i="7"/>
  <c r="L583" i="7"/>
  <c r="M583" i="7"/>
  <c r="W583" i="7"/>
  <c r="D584" i="7"/>
  <c r="E584" i="7"/>
  <c r="H584" i="7"/>
  <c r="I584" i="7"/>
  <c r="J584" i="7"/>
  <c r="K584" i="7"/>
  <c r="L584" i="7"/>
  <c r="M584" i="7"/>
  <c r="W584" i="7"/>
  <c r="D585" i="7"/>
  <c r="E585" i="7"/>
  <c r="H585" i="7"/>
  <c r="I585" i="7"/>
  <c r="J585" i="7"/>
  <c r="K585" i="7"/>
  <c r="L585" i="7"/>
  <c r="M585" i="7"/>
  <c r="W585" i="7"/>
  <c r="D586" i="7"/>
  <c r="E586" i="7"/>
  <c r="H586" i="7"/>
  <c r="I586" i="7"/>
  <c r="J586" i="7"/>
  <c r="K586" i="7"/>
  <c r="L586" i="7"/>
  <c r="M586" i="7"/>
  <c r="W586" i="7"/>
  <c r="D587" i="7"/>
  <c r="E587" i="7"/>
  <c r="H587" i="7"/>
  <c r="I587" i="7"/>
  <c r="J587" i="7"/>
  <c r="K587" i="7"/>
  <c r="L587" i="7"/>
  <c r="M587" i="7"/>
  <c r="W587" i="7"/>
  <c r="D588" i="7"/>
  <c r="E588" i="7"/>
  <c r="H588" i="7"/>
  <c r="I588" i="7"/>
  <c r="J588" i="7"/>
  <c r="K588" i="7"/>
  <c r="L588" i="7"/>
  <c r="M588" i="7"/>
  <c r="W588" i="7"/>
  <c r="D589" i="7"/>
  <c r="E589" i="7"/>
  <c r="H589" i="7"/>
  <c r="I589" i="7"/>
  <c r="J589" i="7"/>
  <c r="K589" i="7"/>
  <c r="L589" i="7"/>
  <c r="M589" i="7"/>
  <c r="W589" i="7"/>
  <c r="D590" i="7"/>
  <c r="E590" i="7"/>
  <c r="H590" i="7"/>
  <c r="I590" i="7"/>
  <c r="J590" i="7"/>
  <c r="K590" i="7"/>
  <c r="L590" i="7"/>
  <c r="M590" i="7"/>
  <c r="W590" i="7"/>
  <c r="D591" i="7"/>
  <c r="E591" i="7"/>
  <c r="H591" i="7"/>
  <c r="I591" i="7"/>
  <c r="J591" i="7"/>
  <c r="K591" i="7"/>
  <c r="L591" i="7"/>
  <c r="M591" i="7"/>
  <c r="W591" i="7"/>
  <c r="D592" i="7"/>
  <c r="E592" i="7"/>
  <c r="H592" i="7"/>
  <c r="I592" i="7"/>
  <c r="J592" i="7"/>
  <c r="K592" i="7"/>
  <c r="L592" i="7"/>
  <c r="M592" i="7"/>
  <c r="W592" i="7"/>
  <c r="D593" i="7"/>
  <c r="E593" i="7"/>
  <c r="H593" i="7"/>
  <c r="I593" i="7"/>
  <c r="J593" i="7"/>
  <c r="K593" i="7"/>
  <c r="L593" i="7"/>
  <c r="M593" i="7"/>
  <c r="W593" i="7"/>
  <c r="D594" i="7"/>
  <c r="E594" i="7"/>
  <c r="H594" i="7"/>
  <c r="I594" i="7"/>
  <c r="J594" i="7"/>
  <c r="K594" i="7"/>
  <c r="L594" i="7"/>
  <c r="M594" i="7"/>
  <c r="W594" i="7"/>
  <c r="D595" i="7"/>
  <c r="E595" i="7"/>
  <c r="H595" i="7"/>
  <c r="I595" i="7"/>
  <c r="J595" i="7"/>
  <c r="K595" i="7"/>
  <c r="L595" i="7"/>
  <c r="M595" i="7"/>
  <c r="W595" i="7"/>
  <c r="D596" i="7"/>
  <c r="E596" i="7"/>
  <c r="H596" i="7"/>
  <c r="I596" i="7"/>
  <c r="J596" i="7"/>
  <c r="K596" i="7"/>
  <c r="L596" i="7"/>
  <c r="M596" i="7"/>
  <c r="W596" i="7"/>
  <c r="D597" i="7"/>
  <c r="E597" i="7"/>
  <c r="H597" i="7"/>
  <c r="I597" i="7"/>
  <c r="J597" i="7"/>
  <c r="K597" i="7"/>
  <c r="L597" i="7"/>
  <c r="M597" i="7"/>
  <c r="W597" i="7"/>
  <c r="D598" i="7"/>
  <c r="E598" i="7"/>
  <c r="H598" i="7"/>
  <c r="I598" i="7"/>
  <c r="J598" i="7"/>
  <c r="K598" i="7"/>
  <c r="L598" i="7"/>
  <c r="M598" i="7"/>
  <c r="W598" i="7"/>
  <c r="D599" i="7"/>
  <c r="E599" i="7"/>
  <c r="H599" i="7"/>
  <c r="I599" i="7"/>
  <c r="J599" i="7"/>
  <c r="K599" i="7"/>
  <c r="L599" i="7"/>
  <c r="M599" i="7"/>
  <c r="N599" i="7"/>
  <c r="W599" i="7"/>
  <c r="D600" i="7"/>
  <c r="E600" i="7"/>
  <c r="H600" i="7"/>
  <c r="I600" i="7"/>
  <c r="J600" i="7"/>
  <c r="K600" i="7"/>
  <c r="L600" i="7"/>
  <c r="M600" i="7"/>
  <c r="W600" i="7"/>
  <c r="D601" i="7"/>
  <c r="E601" i="7"/>
  <c r="H601" i="7"/>
  <c r="I601" i="7"/>
  <c r="J601" i="7"/>
  <c r="K601" i="7"/>
  <c r="L601" i="7"/>
  <c r="M601" i="7"/>
  <c r="W601" i="7"/>
  <c r="D602" i="7"/>
  <c r="E602" i="7"/>
  <c r="H602" i="7"/>
  <c r="I602" i="7"/>
  <c r="J602" i="7"/>
  <c r="K602" i="7"/>
  <c r="L602" i="7"/>
  <c r="M602" i="7"/>
  <c r="W602" i="7"/>
  <c r="D603" i="7"/>
  <c r="E603" i="7"/>
  <c r="H603" i="7"/>
  <c r="I603" i="7"/>
  <c r="J603" i="7"/>
  <c r="K603" i="7"/>
  <c r="L603" i="7"/>
  <c r="M603" i="7"/>
  <c r="W603" i="7"/>
  <c r="D604" i="7"/>
  <c r="E604" i="7"/>
  <c r="H604" i="7"/>
  <c r="I604" i="7"/>
  <c r="J604" i="7"/>
  <c r="K604" i="7"/>
  <c r="L604" i="7"/>
  <c r="M604" i="7"/>
  <c r="W604" i="7"/>
  <c r="D605" i="7"/>
  <c r="E605" i="7"/>
  <c r="H605" i="7"/>
  <c r="I605" i="7"/>
  <c r="J605" i="7"/>
  <c r="K605" i="7"/>
  <c r="L605" i="7"/>
  <c r="M605" i="7"/>
  <c r="W605" i="7"/>
  <c r="D606" i="7"/>
  <c r="E606" i="7"/>
  <c r="H606" i="7"/>
  <c r="I606" i="7"/>
  <c r="J606" i="7"/>
  <c r="K606" i="7"/>
  <c r="L606" i="7"/>
  <c r="M606" i="7"/>
  <c r="W606" i="7"/>
  <c r="D607" i="7"/>
  <c r="E607" i="7"/>
  <c r="H607" i="7"/>
  <c r="I607" i="7"/>
  <c r="J607" i="7"/>
  <c r="K607" i="7"/>
  <c r="L607" i="7"/>
  <c r="M607" i="7"/>
  <c r="W607" i="7"/>
  <c r="D608" i="7"/>
  <c r="E608" i="7"/>
  <c r="H608" i="7"/>
  <c r="I608" i="7"/>
  <c r="J608" i="7"/>
  <c r="K608" i="7"/>
  <c r="L608" i="7"/>
  <c r="M608" i="7"/>
  <c r="W608" i="7"/>
  <c r="D609" i="7"/>
  <c r="E609" i="7"/>
  <c r="H609" i="7"/>
  <c r="I609" i="7"/>
  <c r="J609" i="7"/>
  <c r="K609" i="7"/>
  <c r="L609" i="7"/>
  <c r="M609" i="7"/>
  <c r="W609" i="7"/>
  <c r="D610" i="7"/>
  <c r="E610" i="7"/>
  <c r="H610" i="7"/>
  <c r="I610" i="7"/>
  <c r="J610" i="7"/>
  <c r="K610" i="7"/>
  <c r="L610" i="7"/>
  <c r="M610" i="7"/>
  <c r="W610" i="7"/>
  <c r="D611" i="7"/>
  <c r="E611" i="7"/>
  <c r="H611" i="7"/>
  <c r="I611" i="7"/>
  <c r="J611" i="7"/>
  <c r="K611" i="7"/>
  <c r="L611" i="7"/>
  <c r="M611" i="7"/>
  <c r="W611" i="7"/>
  <c r="D612" i="7"/>
  <c r="E612" i="7"/>
  <c r="H612" i="7"/>
  <c r="I612" i="7"/>
  <c r="J612" i="7"/>
  <c r="K612" i="7"/>
  <c r="L612" i="7"/>
  <c r="M612" i="7"/>
  <c r="O612" i="7"/>
  <c r="W612" i="7"/>
  <c r="D613" i="7"/>
  <c r="E613" i="7"/>
  <c r="H613" i="7"/>
  <c r="I613" i="7"/>
  <c r="J613" i="7"/>
  <c r="K613" i="7"/>
  <c r="L613" i="7"/>
  <c r="M613" i="7"/>
  <c r="W613" i="7"/>
  <c r="D614" i="7"/>
  <c r="E614" i="7"/>
  <c r="H614" i="7"/>
  <c r="I614" i="7"/>
  <c r="J614" i="7"/>
  <c r="K614" i="7"/>
  <c r="L614" i="7"/>
  <c r="M614" i="7"/>
  <c r="W614" i="7"/>
  <c r="A620" i="7"/>
  <c r="M620" i="7" s="1"/>
  <c r="A622" i="7"/>
  <c r="H622" i="7" s="1"/>
  <c r="X622" i="7"/>
  <c r="A623" i="7"/>
  <c r="V2" i="3"/>
  <c r="W2" i="3"/>
  <c r="R17" i="3"/>
  <c r="AL2" i="3"/>
  <c r="AK2" i="3"/>
  <c r="L136" i="7" l="1"/>
  <c r="M117" i="7"/>
  <c r="L112" i="7"/>
  <c r="L85" i="7"/>
  <c r="L56" i="7"/>
  <c r="L105" i="7"/>
  <c r="M88" i="7"/>
  <c r="L70" i="7"/>
  <c r="M49" i="7"/>
  <c r="M30" i="7"/>
  <c r="L146" i="7"/>
  <c r="L133" i="7"/>
  <c r="M119" i="7"/>
  <c r="M98" i="7"/>
  <c r="M55" i="7"/>
  <c r="L39" i="7"/>
  <c r="M138" i="7"/>
  <c r="L124" i="7"/>
  <c r="M114" i="7"/>
  <c r="L91" i="7"/>
  <c r="M79" i="7"/>
  <c r="L74" i="7"/>
  <c r="L62" i="7"/>
  <c r="L143" i="7"/>
  <c r="L135" i="7"/>
  <c r="M111" i="7"/>
  <c r="L54" i="7"/>
  <c r="L129" i="7"/>
  <c r="L116" i="7"/>
  <c r="M107" i="7"/>
  <c r="L97" i="7"/>
  <c r="L73" i="7"/>
  <c r="L68" i="7"/>
  <c r="L110" i="7"/>
  <c r="M86" i="7"/>
  <c r="L59" i="7"/>
  <c r="L52" i="7"/>
  <c r="L134" i="7"/>
  <c r="L120" i="7"/>
  <c r="L103" i="7"/>
  <c r="L42" i="7"/>
  <c r="L139" i="7"/>
  <c r="M115" i="7"/>
  <c r="L65" i="7"/>
  <c r="L51" i="7"/>
  <c r="K141" i="7"/>
  <c r="K143" i="7"/>
  <c r="J143" i="7"/>
  <c r="K145" i="7"/>
  <c r="K149" i="7"/>
  <c r="J142" i="7"/>
  <c r="J146" i="7"/>
  <c r="I28" i="7"/>
  <c r="I59" i="7"/>
  <c r="H66" i="7"/>
  <c r="I61" i="7"/>
  <c r="H30" i="7"/>
  <c r="I71" i="7"/>
  <c r="I60" i="7"/>
  <c r="I37" i="7"/>
  <c r="H65" i="7"/>
  <c r="H64" i="7"/>
  <c r="J114" i="7"/>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O111" i="7"/>
  <c r="O600" i="7"/>
  <c r="N587" i="7"/>
  <c r="O528" i="7"/>
  <c r="N515" i="7"/>
  <c r="O469" i="7"/>
  <c r="N45" i="7"/>
  <c r="L26" i="7"/>
  <c r="M23" i="7"/>
  <c r="O588" i="7"/>
  <c r="N575" i="7"/>
  <c r="O516" i="7"/>
  <c r="N503" i="7"/>
  <c r="L23" i="7"/>
  <c r="O576" i="7"/>
  <c r="N563" i="7"/>
  <c r="O504" i="7"/>
  <c r="N491" i="7"/>
  <c r="L25" i="7"/>
  <c r="M22" i="7"/>
  <c r="L19" i="7"/>
  <c r="O564" i="7"/>
  <c r="N551" i="7"/>
  <c r="O492" i="7"/>
  <c r="N479" i="7"/>
  <c r="N611" i="7"/>
  <c r="O552" i="7"/>
  <c r="N539" i="7"/>
  <c r="O480"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613" i="7"/>
  <c r="N612" i="7"/>
  <c r="O601" i="7"/>
  <c r="N600" i="7"/>
  <c r="O589" i="7"/>
  <c r="N588" i="7"/>
  <c r="O577" i="7"/>
  <c r="N576" i="7"/>
  <c r="O565" i="7"/>
  <c r="N564" i="7"/>
  <c r="O553" i="7"/>
  <c r="N552" i="7"/>
  <c r="O541" i="7"/>
  <c r="N540" i="7"/>
  <c r="O529" i="7"/>
  <c r="N528" i="7"/>
  <c r="O517" i="7"/>
  <c r="N516" i="7"/>
  <c r="O505" i="7"/>
  <c r="N504" i="7"/>
  <c r="O493" i="7"/>
  <c r="N492" i="7"/>
  <c r="O481" i="7"/>
  <c r="N480" i="7"/>
  <c r="O452" i="7"/>
  <c r="N439" i="7"/>
  <c r="O380" i="7"/>
  <c r="N367" i="7"/>
  <c r="O308" i="7"/>
  <c r="N295" i="7"/>
  <c r="O236" i="7"/>
  <c r="N223" i="7"/>
  <c r="O164" i="7"/>
  <c r="N151" i="7"/>
  <c r="N73" i="7"/>
  <c r="N25" i="7"/>
  <c r="O614" i="7"/>
  <c r="N613" i="7"/>
  <c r="O602" i="7"/>
  <c r="N601" i="7"/>
  <c r="O590" i="7"/>
  <c r="N589" i="7"/>
  <c r="O578" i="7"/>
  <c r="N577" i="7"/>
  <c r="O566" i="7"/>
  <c r="N565" i="7"/>
  <c r="O554" i="7"/>
  <c r="N553" i="7"/>
  <c r="O542" i="7"/>
  <c r="N541" i="7"/>
  <c r="O530" i="7"/>
  <c r="N529" i="7"/>
  <c r="O518" i="7"/>
  <c r="N517" i="7"/>
  <c r="O506" i="7"/>
  <c r="N505" i="7"/>
  <c r="O494" i="7"/>
  <c r="N493" i="7"/>
  <c r="O482" i="7"/>
  <c r="N481" i="7"/>
  <c r="O470" i="7"/>
  <c r="N106" i="7"/>
  <c r="N53" i="7"/>
  <c r="O603" i="7"/>
  <c r="N602" i="7"/>
  <c r="O591" i="7"/>
  <c r="N590" i="7"/>
  <c r="N578" i="7"/>
  <c r="O567" i="7"/>
  <c r="N566" i="7"/>
  <c r="O555" i="7"/>
  <c r="N554" i="7"/>
  <c r="O543" i="7"/>
  <c r="N542" i="7"/>
  <c r="O531" i="7"/>
  <c r="N530" i="7"/>
  <c r="O519" i="7"/>
  <c r="N518" i="7"/>
  <c r="O507" i="7"/>
  <c r="N506" i="7"/>
  <c r="O495" i="7"/>
  <c r="N494" i="7"/>
  <c r="O483" i="7"/>
  <c r="N482" i="7"/>
  <c r="O471" i="7"/>
  <c r="O440" i="7"/>
  <c r="N427" i="7"/>
  <c r="O368" i="7"/>
  <c r="N355" i="7"/>
  <c r="O296" i="7"/>
  <c r="N283" i="7"/>
  <c r="O224" i="7"/>
  <c r="N211" i="7"/>
  <c r="O152" i="7"/>
  <c r="N139" i="7"/>
  <c r="N81" i="7"/>
  <c r="N33" i="7"/>
  <c r="O579" i="7"/>
  <c r="N622" i="7"/>
  <c r="O604" i="7"/>
  <c r="N603" i="7"/>
  <c r="O592" i="7"/>
  <c r="N591" i="7"/>
  <c r="O580" i="7"/>
  <c r="N579" i="7"/>
  <c r="O568" i="7"/>
  <c r="N567" i="7"/>
  <c r="O556" i="7"/>
  <c r="N555" i="7"/>
  <c r="O544" i="7"/>
  <c r="N543" i="7"/>
  <c r="O532" i="7"/>
  <c r="N531" i="7"/>
  <c r="O520" i="7"/>
  <c r="N519" i="7"/>
  <c r="O508" i="7"/>
  <c r="N507" i="7"/>
  <c r="O496" i="7"/>
  <c r="N495" i="7"/>
  <c r="O484" i="7"/>
  <c r="N483" i="7"/>
  <c r="O472" i="7"/>
  <c r="N471" i="7"/>
  <c r="N61" i="7"/>
  <c r="O605" i="7"/>
  <c r="N604" i="7"/>
  <c r="O593" i="7"/>
  <c r="N592" i="7"/>
  <c r="O581" i="7"/>
  <c r="N580" i="7"/>
  <c r="O569" i="7"/>
  <c r="N568" i="7"/>
  <c r="O557" i="7"/>
  <c r="N556" i="7"/>
  <c r="O545" i="7"/>
  <c r="N544" i="7"/>
  <c r="O533" i="7"/>
  <c r="N532" i="7"/>
  <c r="O521" i="7"/>
  <c r="N520" i="7"/>
  <c r="O509" i="7"/>
  <c r="N508" i="7"/>
  <c r="O497" i="7"/>
  <c r="N496" i="7"/>
  <c r="O485" i="7"/>
  <c r="N484" i="7"/>
  <c r="O473" i="7"/>
  <c r="N472" i="7"/>
  <c r="O428" i="7"/>
  <c r="N415" i="7"/>
  <c r="O356" i="7"/>
  <c r="N343" i="7"/>
  <c r="O284" i="7"/>
  <c r="N271" i="7"/>
  <c r="O212" i="7"/>
  <c r="N199" i="7"/>
  <c r="O140" i="7"/>
  <c r="O133" i="7"/>
  <c r="N41" i="7"/>
  <c r="N605" i="7"/>
  <c r="O594" i="7"/>
  <c r="N593" i="7"/>
  <c r="O582" i="7"/>
  <c r="N581" i="7"/>
  <c r="O570" i="7"/>
  <c r="N569" i="7"/>
  <c r="O558" i="7"/>
  <c r="N557" i="7"/>
  <c r="O546" i="7"/>
  <c r="N545" i="7"/>
  <c r="O534" i="7"/>
  <c r="N533" i="7"/>
  <c r="O522" i="7"/>
  <c r="N521" i="7"/>
  <c r="O510" i="7"/>
  <c r="N509" i="7"/>
  <c r="O498" i="7"/>
  <c r="N497" i="7"/>
  <c r="O486" i="7"/>
  <c r="N485" i="7"/>
  <c r="O474" i="7"/>
  <c r="N473" i="7"/>
  <c r="N69" i="7"/>
  <c r="N614" i="7"/>
  <c r="O606" i="7"/>
  <c r="O607" i="7"/>
  <c r="N606" i="7"/>
  <c r="O595" i="7"/>
  <c r="N594" i="7"/>
  <c r="O583" i="7"/>
  <c r="N582" i="7"/>
  <c r="O571" i="7"/>
  <c r="N570" i="7"/>
  <c r="O559" i="7"/>
  <c r="N558" i="7"/>
  <c r="O547" i="7"/>
  <c r="N546" i="7"/>
  <c r="O535" i="7"/>
  <c r="N534" i="7"/>
  <c r="O523" i="7"/>
  <c r="N522" i="7"/>
  <c r="O511" i="7"/>
  <c r="N510" i="7"/>
  <c r="O499" i="7"/>
  <c r="N498" i="7"/>
  <c r="O487" i="7"/>
  <c r="N486" i="7"/>
  <c r="O475" i="7"/>
  <c r="N474" i="7"/>
  <c r="O416" i="7"/>
  <c r="N403" i="7"/>
  <c r="O344" i="7"/>
  <c r="N331" i="7"/>
  <c r="O272" i="7"/>
  <c r="N259" i="7"/>
  <c r="O200" i="7"/>
  <c r="N187" i="7"/>
  <c r="N102" i="7"/>
  <c r="N49" i="7"/>
  <c r="O608" i="7"/>
  <c r="N607" i="7"/>
  <c r="N595" i="7"/>
  <c r="O584" i="7"/>
  <c r="N583" i="7"/>
  <c r="O572" i="7"/>
  <c r="N571" i="7"/>
  <c r="O560" i="7"/>
  <c r="N559" i="7"/>
  <c r="O548" i="7"/>
  <c r="N547" i="7"/>
  <c r="O536" i="7"/>
  <c r="N535" i="7"/>
  <c r="O524" i="7"/>
  <c r="N523" i="7"/>
  <c r="O512" i="7"/>
  <c r="N511" i="7"/>
  <c r="O500" i="7"/>
  <c r="N499" i="7"/>
  <c r="O488" i="7"/>
  <c r="N487" i="7"/>
  <c r="O476" i="7"/>
  <c r="N475" i="7"/>
  <c r="N116" i="7"/>
  <c r="N77" i="7"/>
  <c r="N17" i="7"/>
  <c r="O25" i="7"/>
  <c r="O29" i="7"/>
  <c r="O33" i="7"/>
  <c r="O37" i="7"/>
  <c r="O41" i="7"/>
  <c r="O45" i="7"/>
  <c r="O49" i="7"/>
  <c r="O53" i="7"/>
  <c r="O57" i="7"/>
  <c r="O61" i="7"/>
  <c r="O65" i="7"/>
  <c r="O69" i="7"/>
  <c r="O73" i="7"/>
  <c r="O77" i="7"/>
  <c r="O81" i="7"/>
  <c r="O85" i="7"/>
  <c r="N89" i="7"/>
  <c r="N93" i="7"/>
  <c r="N97" i="7"/>
  <c r="O102" i="7"/>
  <c r="O106" i="7"/>
  <c r="N110" i="7"/>
  <c r="O116" i="7"/>
  <c r="N122" i="7"/>
  <c r="N127" i="7"/>
  <c r="O139" i="7"/>
  <c r="N150" i="7"/>
  <c r="O151" i="7"/>
  <c r="N162" i="7"/>
  <c r="O163" i="7"/>
  <c r="N174" i="7"/>
  <c r="O175" i="7"/>
  <c r="N186" i="7"/>
  <c r="O187" i="7"/>
  <c r="N198" i="7"/>
  <c r="O199" i="7"/>
  <c r="N210" i="7"/>
  <c r="O211" i="7"/>
  <c r="N222" i="7"/>
  <c r="O223" i="7"/>
  <c r="N234" i="7"/>
  <c r="O235" i="7"/>
  <c r="N246" i="7"/>
  <c r="O247" i="7"/>
  <c r="N258" i="7"/>
  <c r="O259" i="7"/>
  <c r="N270" i="7"/>
  <c r="O271" i="7"/>
  <c r="N282" i="7"/>
  <c r="O283" i="7"/>
  <c r="N294" i="7"/>
  <c r="O295" i="7"/>
  <c r="N306" i="7"/>
  <c r="O307" i="7"/>
  <c r="N318" i="7"/>
  <c r="O319" i="7"/>
  <c r="N330" i="7"/>
  <c r="O331" i="7"/>
  <c r="N342" i="7"/>
  <c r="O343" i="7"/>
  <c r="N354" i="7"/>
  <c r="O355" i="7"/>
  <c r="N366" i="7"/>
  <c r="O367" i="7"/>
  <c r="N378" i="7"/>
  <c r="O379" i="7"/>
  <c r="N390" i="7"/>
  <c r="O391" i="7"/>
  <c r="N402" i="7"/>
  <c r="O403" i="7"/>
  <c r="N414" i="7"/>
  <c r="O415" i="7"/>
  <c r="N426" i="7"/>
  <c r="O427" i="7"/>
  <c r="N438" i="7"/>
  <c r="O439" i="7"/>
  <c r="N450" i="7"/>
  <c r="O451" i="7"/>
  <c r="N462" i="7"/>
  <c r="O463" i="7"/>
  <c r="O17" i="7"/>
  <c r="N21" i="7"/>
  <c r="O89" i="7"/>
  <c r="O93" i="7"/>
  <c r="O97" i="7"/>
  <c r="O110" i="7"/>
  <c r="N115" i="7"/>
  <c r="O122" i="7"/>
  <c r="O127" i="7"/>
  <c r="N132" i="7"/>
  <c r="N138" i="7"/>
  <c r="N149" i="7"/>
  <c r="O150" i="7"/>
  <c r="N161" i="7"/>
  <c r="O162" i="7"/>
  <c r="N173" i="7"/>
  <c r="O174" i="7"/>
  <c r="N185" i="7"/>
  <c r="O186" i="7"/>
  <c r="N197" i="7"/>
  <c r="O198" i="7"/>
  <c r="N209" i="7"/>
  <c r="O210" i="7"/>
  <c r="N221" i="7"/>
  <c r="O222" i="7"/>
  <c r="N233" i="7"/>
  <c r="O234" i="7"/>
  <c r="N245" i="7"/>
  <c r="O246" i="7"/>
  <c r="N257" i="7"/>
  <c r="O258" i="7"/>
  <c r="N269" i="7"/>
  <c r="O270" i="7"/>
  <c r="N281" i="7"/>
  <c r="O282" i="7"/>
  <c r="N293" i="7"/>
  <c r="O294" i="7"/>
  <c r="N305" i="7"/>
  <c r="O306" i="7"/>
  <c r="N317" i="7"/>
  <c r="O318" i="7"/>
  <c r="N329" i="7"/>
  <c r="O330" i="7"/>
  <c r="N341" i="7"/>
  <c r="O342" i="7"/>
  <c r="N353" i="7"/>
  <c r="O354" i="7"/>
  <c r="N365" i="7"/>
  <c r="O366" i="7"/>
  <c r="N377" i="7"/>
  <c r="O378" i="7"/>
  <c r="N389" i="7"/>
  <c r="O390" i="7"/>
  <c r="N401" i="7"/>
  <c r="O402" i="7"/>
  <c r="N413" i="7"/>
  <c r="O414" i="7"/>
  <c r="N425" i="7"/>
  <c r="O426" i="7"/>
  <c r="N437" i="7"/>
  <c r="O438" i="7"/>
  <c r="N449" i="7"/>
  <c r="O450" i="7"/>
  <c r="N461" i="7"/>
  <c r="O462" i="7"/>
  <c r="N24" i="7"/>
  <c r="N28" i="7"/>
  <c r="N32" i="7"/>
  <c r="N36" i="7"/>
  <c r="N40" i="7"/>
  <c r="N44" i="7"/>
  <c r="N48" i="7"/>
  <c r="N52" i="7"/>
  <c r="N56" i="7"/>
  <c r="N60" i="7"/>
  <c r="N64" i="7"/>
  <c r="N68" i="7"/>
  <c r="N72" i="7"/>
  <c r="N76" i="7"/>
  <c r="N80" i="7"/>
  <c r="N84" i="7"/>
  <c r="N101" i="7"/>
  <c r="N105" i="7"/>
  <c r="O115" i="7"/>
  <c r="N121" i="7"/>
  <c r="O132" i="7"/>
  <c r="N137" i="7"/>
  <c r="O138" i="7"/>
  <c r="N148" i="7"/>
  <c r="O149" i="7"/>
  <c r="N160" i="7"/>
  <c r="O161" i="7"/>
  <c r="N172" i="7"/>
  <c r="O173" i="7"/>
  <c r="N184" i="7"/>
  <c r="O185" i="7"/>
  <c r="N196" i="7"/>
  <c r="O197" i="7"/>
  <c r="N208" i="7"/>
  <c r="O209" i="7"/>
  <c r="N220" i="7"/>
  <c r="O221" i="7"/>
  <c r="N232" i="7"/>
  <c r="O233" i="7"/>
  <c r="N244" i="7"/>
  <c r="O245" i="7"/>
  <c r="N256" i="7"/>
  <c r="O257" i="7"/>
  <c r="N268" i="7"/>
  <c r="O269" i="7"/>
  <c r="N280" i="7"/>
  <c r="O281" i="7"/>
  <c r="N292" i="7"/>
  <c r="O293" i="7"/>
  <c r="N304" i="7"/>
  <c r="O305" i="7"/>
  <c r="N316" i="7"/>
  <c r="O317" i="7"/>
  <c r="N328" i="7"/>
  <c r="O329" i="7"/>
  <c r="N340" i="7"/>
  <c r="O341" i="7"/>
  <c r="N352" i="7"/>
  <c r="O353" i="7"/>
  <c r="N364" i="7"/>
  <c r="O365" i="7"/>
  <c r="N376" i="7"/>
  <c r="O377" i="7"/>
  <c r="N388" i="7"/>
  <c r="O389" i="7"/>
  <c r="N400" i="7"/>
  <c r="O401" i="7"/>
  <c r="N412" i="7"/>
  <c r="O413" i="7"/>
  <c r="N424" i="7"/>
  <c r="O425" i="7"/>
  <c r="N436" i="7"/>
  <c r="O437" i="7"/>
  <c r="N448" i="7"/>
  <c r="O449" i="7"/>
  <c r="N460" i="7"/>
  <c r="O461" i="7"/>
  <c r="O24" i="7"/>
  <c r="O28" i="7"/>
  <c r="O32" i="7"/>
  <c r="O36" i="7"/>
  <c r="O40" i="7"/>
  <c r="O44" i="7"/>
  <c r="O48" i="7"/>
  <c r="O52" i="7"/>
  <c r="O56" i="7"/>
  <c r="O60" i="7"/>
  <c r="O64" i="7"/>
  <c r="O68" i="7"/>
  <c r="O72" i="7"/>
  <c r="O76" i="7"/>
  <c r="O80" i="7"/>
  <c r="O84" i="7"/>
  <c r="N88" i="7"/>
  <c r="N92" i="7"/>
  <c r="N96" i="7"/>
  <c r="O101" i="7"/>
  <c r="O105" i="7"/>
  <c r="N109" i="7"/>
  <c r="N114" i="7"/>
  <c r="O121" i="7"/>
  <c r="N126" i="7"/>
  <c r="N131" i="7"/>
  <c r="O137" i="7"/>
  <c r="N147" i="7"/>
  <c r="O148" i="7"/>
  <c r="N159" i="7"/>
  <c r="O160" i="7"/>
  <c r="N171" i="7"/>
  <c r="O172" i="7"/>
  <c r="N183" i="7"/>
  <c r="O184" i="7"/>
  <c r="N195" i="7"/>
  <c r="O196" i="7"/>
  <c r="N207" i="7"/>
  <c r="O208" i="7"/>
  <c r="N219" i="7"/>
  <c r="O220" i="7"/>
  <c r="N231" i="7"/>
  <c r="O232" i="7"/>
  <c r="N243" i="7"/>
  <c r="O244" i="7"/>
  <c r="N255" i="7"/>
  <c r="O256" i="7"/>
  <c r="N267" i="7"/>
  <c r="O268" i="7"/>
  <c r="N279" i="7"/>
  <c r="O280" i="7"/>
  <c r="N291" i="7"/>
  <c r="O292" i="7"/>
  <c r="N303" i="7"/>
  <c r="O304" i="7"/>
  <c r="N315" i="7"/>
  <c r="O316" i="7"/>
  <c r="N327" i="7"/>
  <c r="O328" i="7"/>
  <c r="N339" i="7"/>
  <c r="O340" i="7"/>
  <c r="N351" i="7"/>
  <c r="O352" i="7"/>
  <c r="N363" i="7"/>
  <c r="O364" i="7"/>
  <c r="N375" i="7"/>
  <c r="O376" i="7"/>
  <c r="N387" i="7"/>
  <c r="O388" i="7"/>
  <c r="N399" i="7"/>
  <c r="O400" i="7"/>
  <c r="N411" i="7"/>
  <c r="O412" i="7"/>
  <c r="N423" i="7"/>
  <c r="O424" i="7"/>
  <c r="N435" i="7"/>
  <c r="O436" i="7"/>
  <c r="N447" i="7"/>
  <c r="O448" i="7"/>
  <c r="N459" i="7"/>
  <c r="O460" i="7"/>
  <c r="O88" i="7"/>
  <c r="O92" i="7"/>
  <c r="O96" i="7"/>
  <c r="O109" i="7"/>
  <c r="O114" i="7"/>
  <c r="N120" i="7"/>
  <c r="O126" i="7"/>
  <c r="O131" i="7"/>
  <c r="N146" i="7"/>
  <c r="O147" i="7"/>
  <c r="N158" i="7"/>
  <c r="O159" i="7"/>
  <c r="N170" i="7"/>
  <c r="O171" i="7"/>
  <c r="N182" i="7"/>
  <c r="O183" i="7"/>
  <c r="N194" i="7"/>
  <c r="O195" i="7"/>
  <c r="N206" i="7"/>
  <c r="O207" i="7"/>
  <c r="N218" i="7"/>
  <c r="O219" i="7"/>
  <c r="N230" i="7"/>
  <c r="O231" i="7"/>
  <c r="N242" i="7"/>
  <c r="O243" i="7"/>
  <c r="N254" i="7"/>
  <c r="O255" i="7"/>
  <c r="N266" i="7"/>
  <c r="O267" i="7"/>
  <c r="N278" i="7"/>
  <c r="O279" i="7"/>
  <c r="N290" i="7"/>
  <c r="O291" i="7"/>
  <c r="N302" i="7"/>
  <c r="O303" i="7"/>
  <c r="N314" i="7"/>
  <c r="O315" i="7"/>
  <c r="N326" i="7"/>
  <c r="O327" i="7"/>
  <c r="N338" i="7"/>
  <c r="O339" i="7"/>
  <c r="N350" i="7"/>
  <c r="O351" i="7"/>
  <c r="N362" i="7"/>
  <c r="O363" i="7"/>
  <c r="N374" i="7"/>
  <c r="O375" i="7"/>
  <c r="N386" i="7"/>
  <c r="O387" i="7"/>
  <c r="N398" i="7"/>
  <c r="O399" i="7"/>
  <c r="N410" i="7"/>
  <c r="O411" i="7"/>
  <c r="N422" i="7"/>
  <c r="O423" i="7"/>
  <c r="N434" i="7"/>
  <c r="O435" i="7"/>
  <c r="N446" i="7"/>
  <c r="O447" i="7"/>
  <c r="N458" i="7"/>
  <c r="O459" i="7"/>
  <c r="N470" i="7"/>
  <c r="N23" i="7"/>
  <c r="N27" i="7"/>
  <c r="N31" i="7"/>
  <c r="N35" i="7"/>
  <c r="N39" i="7"/>
  <c r="N43" i="7"/>
  <c r="N47" i="7"/>
  <c r="N51" i="7"/>
  <c r="N55" i="7"/>
  <c r="N59" i="7"/>
  <c r="N63" i="7"/>
  <c r="N67" i="7"/>
  <c r="N71" i="7"/>
  <c r="N75" i="7"/>
  <c r="N79" i="7"/>
  <c r="N83" i="7"/>
  <c r="N100" i="7"/>
  <c r="N104" i="7"/>
  <c r="N113" i="7"/>
  <c r="N119" i="7"/>
  <c r="O120" i="7"/>
  <c r="N130" i="7"/>
  <c r="N136" i="7"/>
  <c r="N145" i="7"/>
  <c r="O146" i="7"/>
  <c r="N157" i="7"/>
  <c r="O158" i="7"/>
  <c r="N169" i="7"/>
  <c r="O170" i="7"/>
  <c r="N181" i="7"/>
  <c r="O182" i="7"/>
  <c r="N193" i="7"/>
  <c r="O194" i="7"/>
  <c r="N205" i="7"/>
  <c r="O206" i="7"/>
  <c r="N217" i="7"/>
  <c r="O218" i="7"/>
  <c r="N229" i="7"/>
  <c r="O230" i="7"/>
  <c r="N241" i="7"/>
  <c r="O242" i="7"/>
  <c r="N253" i="7"/>
  <c r="O254" i="7"/>
  <c r="N265" i="7"/>
  <c r="O266" i="7"/>
  <c r="N277" i="7"/>
  <c r="O278" i="7"/>
  <c r="N289" i="7"/>
  <c r="O290" i="7"/>
  <c r="N301" i="7"/>
  <c r="O302" i="7"/>
  <c r="N313" i="7"/>
  <c r="O314" i="7"/>
  <c r="N325" i="7"/>
  <c r="O326" i="7"/>
  <c r="N337" i="7"/>
  <c r="O338" i="7"/>
  <c r="N349" i="7"/>
  <c r="O350" i="7"/>
  <c r="N361" i="7"/>
  <c r="O362" i="7"/>
  <c r="N373" i="7"/>
  <c r="O374" i="7"/>
  <c r="N385" i="7"/>
  <c r="O386" i="7"/>
  <c r="N397" i="7"/>
  <c r="O398" i="7"/>
  <c r="N409" i="7"/>
  <c r="O410" i="7"/>
  <c r="N421" i="7"/>
  <c r="O422" i="7"/>
  <c r="N433" i="7"/>
  <c r="O434" i="7"/>
  <c r="N445" i="7"/>
  <c r="O446" i="7"/>
  <c r="N457" i="7"/>
  <c r="O458" i="7"/>
  <c r="N469" i="7"/>
  <c r="O20" i="7"/>
  <c r="O23" i="7"/>
  <c r="O27" i="7"/>
  <c r="O31" i="7"/>
  <c r="O35" i="7"/>
  <c r="O39" i="7"/>
  <c r="O43" i="7"/>
  <c r="O47" i="7"/>
  <c r="O51" i="7"/>
  <c r="O55" i="7"/>
  <c r="O59" i="7"/>
  <c r="O63" i="7"/>
  <c r="O67" i="7"/>
  <c r="O71" i="7"/>
  <c r="O75" i="7"/>
  <c r="O79" i="7"/>
  <c r="O83" i="7"/>
  <c r="N87" i="7"/>
  <c r="N91" i="7"/>
  <c r="N95" i="7"/>
  <c r="O100" i="7"/>
  <c r="O104" i="7"/>
  <c r="N108" i="7"/>
  <c r="O113" i="7"/>
  <c r="O119" i="7"/>
  <c r="N125" i="7"/>
  <c r="N129" i="7"/>
  <c r="O130" i="7"/>
  <c r="O136" i="7"/>
  <c r="N144" i="7"/>
  <c r="O145" i="7"/>
  <c r="N156" i="7"/>
  <c r="O157" i="7"/>
  <c r="N168" i="7"/>
  <c r="O169" i="7"/>
  <c r="N180" i="7"/>
  <c r="O181" i="7"/>
  <c r="N192" i="7"/>
  <c r="O193" i="7"/>
  <c r="N204" i="7"/>
  <c r="O205" i="7"/>
  <c r="N216" i="7"/>
  <c r="O217" i="7"/>
  <c r="N228" i="7"/>
  <c r="O229" i="7"/>
  <c r="N240" i="7"/>
  <c r="O241" i="7"/>
  <c r="N252" i="7"/>
  <c r="O253" i="7"/>
  <c r="N264" i="7"/>
  <c r="O265" i="7"/>
  <c r="N276" i="7"/>
  <c r="O277" i="7"/>
  <c r="N288" i="7"/>
  <c r="O289" i="7"/>
  <c r="N300" i="7"/>
  <c r="O301" i="7"/>
  <c r="N312" i="7"/>
  <c r="O313" i="7"/>
  <c r="N324" i="7"/>
  <c r="O325" i="7"/>
  <c r="N336" i="7"/>
  <c r="O337" i="7"/>
  <c r="N348" i="7"/>
  <c r="O349" i="7"/>
  <c r="N360" i="7"/>
  <c r="O361" i="7"/>
  <c r="N372" i="7"/>
  <c r="O373" i="7"/>
  <c r="N384" i="7"/>
  <c r="O385" i="7"/>
  <c r="N396" i="7"/>
  <c r="O397" i="7"/>
  <c r="N408" i="7"/>
  <c r="O409" i="7"/>
  <c r="N420" i="7"/>
  <c r="O421" i="7"/>
  <c r="N432" i="7"/>
  <c r="O433" i="7"/>
  <c r="N444" i="7"/>
  <c r="O445" i="7"/>
  <c r="N456" i="7"/>
  <c r="O457" i="7"/>
  <c r="N468" i="7"/>
  <c r="O87" i="7"/>
  <c r="O91" i="7"/>
  <c r="O95" i="7"/>
  <c r="N99" i="7"/>
  <c r="O108" i="7"/>
  <c r="N118" i="7"/>
  <c r="O125" i="7"/>
  <c r="O129" i="7"/>
  <c r="N135" i="7"/>
  <c r="N143" i="7"/>
  <c r="O144" i="7"/>
  <c r="N155" i="7"/>
  <c r="O156" i="7"/>
  <c r="N167" i="7"/>
  <c r="O168" i="7"/>
  <c r="N179" i="7"/>
  <c r="O180" i="7"/>
  <c r="N191" i="7"/>
  <c r="O192" i="7"/>
  <c r="N203" i="7"/>
  <c r="O204" i="7"/>
  <c r="N215" i="7"/>
  <c r="O216" i="7"/>
  <c r="N227" i="7"/>
  <c r="O228" i="7"/>
  <c r="N239" i="7"/>
  <c r="O240" i="7"/>
  <c r="N251" i="7"/>
  <c r="O252" i="7"/>
  <c r="N263" i="7"/>
  <c r="O264" i="7"/>
  <c r="N275" i="7"/>
  <c r="O276" i="7"/>
  <c r="N287" i="7"/>
  <c r="O288" i="7"/>
  <c r="N299" i="7"/>
  <c r="O300" i="7"/>
  <c r="N311" i="7"/>
  <c r="O312" i="7"/>
  <c r="N323" i="7"/>
  <c r="O324" i="7"/>
  <c r="N335" i="7"/>
  <c r="O336" i="7"/>
  <c r="N347" i="7"/>
  <c r="O348" i="7"/>
  <c r="N359" i="7"/>
  <c r="O360" i="7"/>
  <c r="N371" i="7"/>
  <c r="O372" i="7"/>
  <c r="N383" i="7"/>
  <c r="O384" i="7"/>
  <c r="N395" i="7"/>
  <c r="O396" i="7"/>
  <c r="N407" i="7"/>
  <c r="O408" i="7"/>
  <c r="N419" i="7"/>
  <c r="O420" i="7"/>
  <c r="N431" i="7"/>
  <c r="O432" i="7"/>
  <c r="N443" i="7"/>
  <c r="O444" i="7"/>
  <c r="N455" i="7"/>
  <c r="O456" i="7"/>
  <c r="N467" i="7"/>
  <c r="N26" i="7"/>
  <c r="N30" i="7"/>
  <c r="N34" i="7"/>
  <c r="N38" i="7"/>
  <c r="N42" i="7"/>
  <c r="N46" i="7"/>
  <c r="N50" i="7"/>
  <c r="N54" i="7"/>
  <c r="N58" i="7"/>
  <c r="N62" i="7"/>
  <c r="N66" i="7"/>
  <c r="N70" i="7"/>
  <c r="N74" i="7"/>
  <c r="N78" i="7"/>
  <c r="N82" i="7"/>
  <c r="N86" i="7"/>
  <c r="O99" i="7"/>
  <c r="N103" i="7"/>
  <c r="N112" i="7"/>
  <c r="N117" i="7"/>
  <c r="O118" i="7"/>
  <c r="N124" i="7"/>
  <c r="O135" i="7"/>
  <c r="N142" i="7"/>
  <c r="O143" i="7"/>
  <c r="N154" i="7"/>
  <c r="O155" i="7"/>
  <c r="N166" i="7"/>
  <c r="O167" i="7"/>
  <c r="N178" i="7"/>
  <c r="O179" i="7"/>
  <c r="N190" i="7"/>
  <c r="O191" i="7"/>
  <c r="N202" i="7"/>
  <c r="O203" i="7"/>
  <c r="N214" i="7"/>
  <c r="O215" i="7"/>
  <c r="N226" i="7"/>
  <c r="O227" i="7"/>
  <c r="N238" i="7"/>
  <c r="O239" i="7"/>
  <c r="N250" i="7"/>
  <c r="O251" i="7"/>
  <c r="N262" i="7"/>
  <c r="O263" i="7"/>
  <c r="N274" i="7"/>
  <c r="O275" i="7"/>
  <c r="N286" i="7"/>
  <c r="O287" i="7"/>
  <c r="N298" i="7"/>
  <c r="O299" i="7"/>
  <c r="N310" i="7"/>
  <c r="O311" i="7"/>
  <c r="N322" i="7"/>
  <c r="O323" i="7"/>
  <c r="N334" i="7"/>
  <c r="O335" i="7"/>
  <c r="N346" i="7"/>
  <c r="O347" i="7"/>
  <c r="N358" i="7"/>
  <c r="O359" i="7"/>
  <c r="N370" i="7"/>
  <c r="O371" i="7"/>
  <c r="N382" i="7"/>
  <c r="O383" i="7"/>
  <c r="N394" i="7"/>
  <c r="O395" i="7"/>
  <c r="N406" i="7"/>
  <c r="O407" i="7"/>
  <c r="N418" i="7"/>
  <c r="O419" i="7"/>
  <c r="N430" i="7"/>
  <c r="O431" i="7"/>
  <c r="N442" i="7"/>
  <c r="O443" i="7"/>
  <c r="N454" i="7"/>
  <c r="O455" i="7"/>
  <c r="N466" i="7"/>
  <c r="O467" i="7"/>
  <c r="N22" i="7"/>
  <c r="O26" i="7"/>
  <c r="O30" i="7"/>
  <c r="O34" i="7"/>
  <c r="O38" i="7"/>
  <c r="O42" i="7"/>
  <c r="O46" i="7"/>
  <c r="O50" i="7"/>
  <c r="O54" i="7"/>
  <c r="O58" i="7"/>
  <c r="O62" i="7"/>
  <c r="O66" i="7"/>
  <c r="O70" i="7"/>
  <c r="O74" i="7"/>
  <c r="O78" i="7"/>
  <c r="O82" i="7"/>
  <c r="O86" i="7"/>
  <c r="N90" i="7"/>
  <c r="N94" i="7"/>
  <c r="N98" i="7"/>
  <c r="O103" i="7"/>
  <c r="N107" i="7"/>
  <c r="O112" i="7"/>
  <c r="O117" i="7"/>
  <c r="O124" i="7"/>
  <c r="N128" i="7"/>
  <c r="N134" i="7"/>
  <c r="N141" i="7"/>
  <c r="O142" i="7"/>
  <c r="N153" i="7"/>
  <c r="O154" i="7"/>
  <c r="N165" i="7"/>
  <c r="O166" i="7"/>
  <c r="N177" i="7"/>
  <c r="O178" i="7"/>
  <c r="N189" i="7"/>
  <c r="O190" i="7"/>
  <c r="N201" i="7"/>
  <c r="O202" i="7"/>
  <c r="N213" i="7"/>
  <c r="O214" i="7"/>
  <c r="N225" i="7"/>
  <c r="O226" i="7"/>
  <c r="N237" i="7"/>
  <c r="O238" i="7"/>
  <c r="N249" i="7"/>
  <c r="O250" i="7"/>
  <c r="N261" i="7"/>
  <c r="O262" i="7"/>
  <c r="N273" i="7"/>
  <c r="O274" i="7"/>
  <c r="N285" i="7"/>
  <c r="O286" i="7"/>
  <c r="N297" i="7"/>
  <c r="O298" i="7"/>
  <c r="N309" i="7"/>
  <c r="O310" i="7"/>
  <c r="N321" i="7"/>
  <c r="O322" i="7"/>
  <c r="N333" i="7"/>
  <c r="O334" i="7"/>
  <c r="N345" i="7"/>
  <c r="O346" i="7"/>
  <c r="N357" i="7"/>
  <c r="O358" i="7"/>
  <c r="N369" i="7"/>
  <c r="O370" i="7"/>
  <c r="N381" i="7"/>
  <c r="O382" i="7"/>
  <c r="N393" i="7"/>
  <c r="O394" i="7"/>
  <c r="N405" i="7"/>
  <c r="O406" i="7"/>
  <c r="N417" i="7"/>
  <c r="O418" i="7"/>
  <c r="N429" i="7"/>
  <c r="O430" i="7"/>
  <c r="N441" i="7"/>
  <c r="O442" i="7"/>
  <c r="N453" i="7"/>
  <c r="O454" i="7"/>
  <c r="N465" i="7"/>
  <c r="O466" i="7"/>
  <c r="O22" i="7"/>
  <c r="O90" i="7"/>
  <c r="O94" i="7"/>
  <c r="O98" i="7"/>
  <c r="O107" i="7"/>
  <c r="N111" i="7"/>
  <c r="N123" i="7"/>
  <c r="O128" i="7"/>
  <c r="N133" i="7"/>
  <c r="O134" i="7"/>
  <c r="N140" i="7"/>
  <c r="O141" i="7"/>
  <c r="N152" i="7"/>
  <c r="O153" i="7"/>
  <c r="N164" i="7"/>
  <c r="O165" i="7"/>
  <c r="N176" i="7"/>
  <c r="O177" i="7"/>
  <c r="N188" i="7"/>
  <c r="O189" i="7"/>
  <c r="N200" i="7"/>
  <c r="O201" i="7"/>
  <c r="N212" i="7"/>
  <c r="O213" i="7"/>
  <c r="N224" i="7"/>
  <c r="O225" i="7"/>
  <c r="N236" i="7"/>
  <c r="O237" i="7"/>
  <c r="N248" i="7"/>
  <c r="O249" i="7"/>
  <c r="N260" i="7"/>
  <c r="O261" i="7"/>
  <c r="N272" i="7"/>
  <c r="O273" i="7"/>
  <c r="N284" i="7"/>
  <c r="O285" i="7"/>
  <c r="N296" i="7"/>
  <c r="O297" i="7"/>
  <c r="N308" i="7"/>
  <c r="O309" i="7"/>
  <c r="N320" i="7"/>
  <c r="O321" i="7"/>
  <c r="N332" i="7"/>
  <c r="O333" i="7"/>
  <c r="N344" i="7"/>
  <c r="O345" i="7"/>
  <c r="N356" i="7"/>
  <c r="O357" i="7"/>
  <c r="N368" i="7"/>
  <c r="O369" i="7"/>
  <c r="N380" i="7"/>
  <c r="O381" i="7"/>
  <c r="N392" i="7"/>
  <c r="O393" i="7"/>
  <c r="N404" i="7"/>
  <c r="O405" i="7"/>
  <c r="N416" i="7"/>
  <c r="O417" i="7"/>
  <c r="N428" i="7"/>
  <c r="O429" i="7"/>
  <c r="N440" i="7"/>
  <c r="O441" i="7"/>
  <c r="N452" i="7"/>
  <c r="O453" i="7"/>
  <c r="N464" i="7"/>
  <c r="O465" i="7"/>
  <c r="O596" i="7"/>
  <c r="O609" i="7"/>
  <c r="N608" i="7"/>
  <c r="O597" i="7"/>
  <c r="N596" i="7"/>
  <c r="O585" i="7"/>
  <c r="N584" i="7"/>
  <c r="O573" i="7"/>
  <c r="N572" i="7"/>
  <c r="O561" i="7"/>
  <c r="N560" i="7"/>
  <c r="O549" i="7"/>
  <c r="N548" i="7"/>
  <c r="O537" i="7"/>
  <c r="N536" i="7"/>
  <c r="O525" i="7"/>
  <c r="N524" i="7"/>
  <c r="O513" i="7"/>
  <c r="N512" i="7"/>
  <c r="O501" i="7"/>
  <c r="N500" i="7"/>
  <c r="O489" i="7"/>
  <c r="N488" i="7"/>
  <c r="O477" i="7"/>
  <c r="N476" i="7"/>
  <c r="N463" i="7"/>
  <c r="O404" i="7"/>
  <c r="N391" i="7"/>
  <c r="O332" i="7"/>
  <c r="N319" i="7"/>
  <c r="O260" i="7"/>
  <c r="N247" i="7"/>
  <c r="O188" i="7"/>
  <c r="N175" i="7"/>
  <c r="N57" i="7"/>
  <c r="N609" i="7"/>
  <c r="O598" i="7"/>
  <c r="N597" i="7"/>
  <c r="O586" i="7"/>
  <c r="N585" i="7"/>
  <c r="O574" i="7"/>
  <c r="N573" i="7"/>
  <c r="O562" i="7"/>
  <c r="N561" i="7"/>
  <c r="O550" i="7"/>
  <c r="N549" i="7"/>
  <c r="O538" i="7"/>
  <c r="N537" i="7"/>
  <c r="O526" i="7"/>
  <c r="N525" i="7"/>
  <c r="O514" i="7"/>
  <c r="N513" i="7"/>
  <c r="O502" i="7"/>
  <c r="N501" i="7"/>
  <c r="O490" i="7"/>
  <c r="N489" i="7"/>
  <c r="O478" i="7"/>
  <c r="N477" i="7"/>
  <c r="O468" i="7"/>
  <c r="O123" i="7"/>
  <c r="N85" i="7"/>
  <c r="N37" i="7"/>
  <c r="O610" i="7"/>
  <c r="O611" i="7"/>
  <c r="N610" i="7"/>
  <c r="O599" i="7"/>
  <c r="N598" i="7"/>
  <c r="O587" i="7"/>
  <c r="N586" i="7"/>
  <c r="O575" i="7"/>
  <c r="N574" i="7"/>
  <c r="O563" i="7"/>
  <c r="N562" i="7"/>
  <c r="O551" i="7"/>
  <c r="N550" i="7"/>
  <c r="O539" i="7"/>
  <c r="N538" i="7"/>
  <c r="O527" i="7"/>
  <c r="N526" i="7"/>
  <c r="O515" i="7"/>
  <c r="N514" i="7"/>
  <c r="O503" i="7"/>
  <c r="N502" i="7"/>
  <c r="O491" i="7"/>
  <c r="N490" i="7"/>
  <c r="O479" i="7"/>
  <c r="N478" i="7"/>
  <c r="O464" i="7"/>
  <c r="N451" i="7"/>
  <c r="O392" i="7"/>
  <c r="N379" i="7"/>
  <c r="O320" i="7"/>
  <c r="N307" i="7"/>
  <c r="O248" i="7"/>
  <c r="N235" i="7"/>
  <c r="O176" i="7"/>
  <c r="N163" i="7"/>
  <c r="N65" i="7"/>
  <c r="L22" i="7"/>
  <c r="M18" i="7"/>
  <c r="L15" i="7"/>
  <c r="L14" i="7"/>
  <c r="H16" i="7"/>
  <c r="H18" i="7"/>
  <c r="K88" i="7"/>
  <c r="I15" i="7"/>
  <c r="I21" i="7"/>
  <c r="I14" i="7"/>
  <c r="L620" i="7"/>
  <c r="K620" i="7"/>
  <c r="J620" i="7"/>
  <c r="I620" i="7"/>
  <c r="H620" i="7"/>
  <c r="E620" i="7"/>
  <c r="D620" i="7"/>
  <c r="O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92"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282" i="5"/>
  <c r="G234" i="5"/>
  <c r="I223" i="5"/>
  <c r="I271" i="5"/>
  <c r="I259" i="5"/>
  <c r="I215" i="5"/>
  <c r="I211" i="5"/>
  <c r="F84" i="5"/>
  <c r="I84" i="5" s="1"/>
  <c r="F78" i="5"/>
  <c r="F63" i="5"/>
  <c r="F19" i="5"/>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O14" i="7"/>
  <c r="N19" i="7"/>
  <c r="N14"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N623" i="7"/>
  <c r="O623" i="7"/>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O15" i="7"/>
  <c r="O19" i="7"/>
  <c r="N16" i="7"/>
  <c r="D15" i="7"/>
  <c r="D19" i="7"/>
  <c r="D23" i="7"/>
  <c r="E15" i="7"/>
  <c r="D16" i="7"/>
  <c r="D20" i="7"/>
  <c r="I283" i="5"/>
  <c r="G283" i="5"/>
  <c r="O21" i="7"/>
  <c r="N20" i="7"/>
  <c r="E18" i="7"/>
  <c r="D17" i="7"/>
  <c r="I295" i="5"/>
  <c r="I288" i="5"/>
  <c r="G288" i="5"/>
  <c r="N15" i="7"/>
  <c r="I253" i="5"/>
  <c r="G253" i="5"/>
  <c r="O18" i="7"/>
  <c r="E14" i="7"/>
  <c r="G263" i="5"/>
  <c r="I263" i="5"/>
  <c r="N18" i="7"/>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19" i="5"/>
  <c r="G76" i="5"/>
  <c r="G35" i="5"/>
  <c r="N7"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I50" i="5"/>
  <c r="G50" i="5"/>
  <c r="G61" i="5"/>
  <c r="M57" i="5"/>
  <c r="M24" i="5"/>
  <c r="F9" i="5"/>
  <c r="F11" i="5"/>
  <c r="F13" i="5"/>
  <c r="F15" i="5"/>
  <c r="F22" i="5"/>
  <c r="F34" i="5"/>
  <c r="F46" i="5"/>
  <c r="F5" i="5"/>
  <c r="F25" i="5"/>
  <c r="F37" i="5"/>
  <c r="F49" i="5"/>
  <c r="F10" i="5"/>
  <c r="K10" i="5" s="1"/>
  <c r="F12" i="5"/>
  <c r="F14" i="5"/>
  <c r="F16" i="5"/>
  <c r="F28" i="5"/>
  <c r="F40" i="5"/>
  <c r="F52" i="5"/>
  <c r="F8" i="5"/>
  <c r="F21" i="5"/>
  <c r="F33" i="5"/>
  <c r="F45" i="5"/>
  <c r="F57" i="5"/>
  <c r="F29" i="5"/>
  <c r="K29" i="5" s="1"/>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L215" i="5" s="1"/>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K240" i="5" s="1"/>
  <c r="B15" i="4"/>
  <c r="B32" i="4"/>
  <c r="B13" i="4"/>
  <c r="L61" i="5" s="1"/>
  <c r="G623" i="7" l="1"/>
  <c r="G19" i="7"/>
  <c r="F623" i="7"/>
  <c r="G15" i="7"/>
  <c r="Z15" i="7" s="1"/>
  <c r="AA15" i="7" s="1"/>
  <c r="G22" i="7"/>
  <c r="Z22" i="7" s="1"/>
  <c r="AA22" i="7" s="1"/>
  <c r="G18" i="7"/>
  <c r="Z18" i="7" s="1"/>
  <c r="AA18" i="7" s="1"/>
  <c r="G14" i="7"/>
  <c r="F18" i="7"/>
  <c r="Y14" i="7"/>
  <c r="Z14" i="7"/>
  <c r="AA14" i="7" s="1"/>
  <c r="Y18"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Y25" i="7" s="1"/>
  <c r="G26" i="7"/>
  <c r="Z26" i="7" s="1"/>
  <c r="AA26" i="7" s="1"/>
  <c r="F37" i="7"/>
  <c r="Y37" i="7" s="1"/>
  <c r="G38" i="7"/>
  <c r="Z38" i="7" s="1"/>
  <c r="AA38" i="7" s="1"/>
  <c r="F49" i="7"/>
  <c r="Y49" i="7" s="1"/>
  <c r="G50" i="7"/>
  <c r="Z50" i="7" s="1"/>
  <c r="AA50" i="7" s="1"/>
  <c r="F61" i="7"/>
  <c r="Y61" i="7" s="1"/>
  <c r="G62" i="7"/>
  <c r="Z62" i="7" s="1"/>
  <c r="AA62" i="7" s="1"/>
  <c r="F73" i="7"/>
  <c r="Y73" i="7" s="1"/>
  <c r="G74" i="7"/>
  <c r="Z74" i="7" s="1"/>
  <c r="AA74" i="7" s="1"/>
  <c r="F85" i="7"/>
  <c r="Y85" i="7" s="1"/>
  <c r="G86" i="7"/>
  <c r="Z86" i="7" s="1"/>
  <c r="AA86" i="7" s="1"/>
  <c r="F99" i="7"/>
  <c r="Y99" i="7" s="1"/>
  <c r="F100" i="7"/>
  <c r="Y100" i="7" s="1"/>
  <c r="F101" i="7"/>
  <c r="Y101" i="7" s="1"/>
  <c r="G102" i="7"/>
  <c r="Z102" i="7" s="1"/>
  <c r="AA102" i="7" s="1"/>
  <c r="F129" i="7"/>
  <c r="Y129" i="7" s="1"/>
  <c r="G130" i="7"/>
  <c r="Z130" i="7" s="1"/>
  <c r="AA130" i="7" s="1"/>
  <c r="F134" i="7"/>
  <c r="Y134" i="7" s="1"/>
  <c r="F138" i="7"/>
  <c r="Y138" i="7" s="1"/>
  <c r="G149" i="7"/>
  <c r="Z149" i="7" s="1"/>
  <c r="AA149" i="7" s="1"/>
  <c r="F150" i="7"/>
  <c r="Y150" i="7" s="1"/>
  <c r="G161" i="7"/>
  <c r="Z161" i="7" s="1"/>
  <c r="AA161" i="7" s="1"/>
  <c r="F162" i="7"/>
  <c r="Y162" i="7" s="1"/>
  <c r="G171" i="7"/>
  <c r="Z171" i="7" s="1"/>
  <c r="AA171" i="7" s="1"/>
  <c r="F172" i="7"/>
  <c r="Y172" i="7" s="1"/>
  <c r="F181" i="7"/>
  <c r="Y181" i="7" s="1"/>
  <c r="G190" i="7"/>
  <c r="Z190" i="7" s="1"/>
  <c r="AA190" i="7" s="1"/>
  <c r="G199" i="7"/>
  <c r="Z199" i="7" s="1"/>
  <c r="AA199" i="7" s="1"/>
  <c r="F200" i="7"/>
  <c r="Y200" i="7" s="1"/>
  <c r="G208" i="7"/>
  <c r="Z208" i="7" s="1"/>
  <c r="AA208" i="7" s="1"/>
  <c r="F209" i="7"/>
  <c r="Y209" i="7" s="1"/>
  <c r="G217" i="7"/>
  <c r="Z217" i="7" s="1"/>
  <c r="AA217" i="7" s="1"/>
  <c r="F218" i="7"/>
  <c r="Y218" i="7" s="1"/>
  <c r="G226" i="7"/>
  <c r="Z226" i="7" s="1"/>
  <c r="AA226" i="7" s="1"/>
  <c r="F227" i="7"/>
  <c r="Y227" i="7" s="1"/>
  <c r="G237" i="7"/>
  <c r="Z237" i="7" s="1"/>
  <c r="AA237" i="7" s="1"/>
  <c r="F238" i="7"/>
  <c r="Y238" i="7" s="1"/>
  <c r="F247" i="7"/>
  <c r="Y247" i="7" s="1"/>
  <c r="G256" i="7"/>
  <c r="Z256" i="7" s="1"/>
  <c r="AA256" i="7" s="1"/>
  <c r="F257" i="7"/>
  <c r="Y257" i="7" s="1"/>
  <c r="G267" i="7"/>
  <c r="Z267" i="7" s="1"/>
  <c r="AA267" i="7" s="1"/>
  <c r="F268" i="7"/>
  <c r="Y268" i="7" s="1"/>
  <c r="G279" i="7"/>
  <c r="Z279" i="7" s="1"/>
  <c r="AA279" i="7" s="1"/>
  <c r="G290" i="7"/>
  <c r="Z290" i="7" s="1"/>
  <c r="AA290" i="7" s="1"/>
  <c r="F291" i="7"/>
  <c r="Y291" i="7" s="1"/>
  <c r="G301" i="7"/>
  <c r="Z301" i="7" s="1"/>
  <c r="AA301" i="7" s="1"/>
  <c r="F302" i="7"/>
  <c r="Y302" i="7" s="1"/>
  <c r="G313" i="7"/>
  <c r="Z313" i="7" s="1"/>
  <c r="AA313" i="7" s="1"/>
  <c r="F15" i="7"/>
  <c r="F17" i="7"/>
  <c r="F24" i="7"/>
  <c r="Y24" i="7" s="1"/>
  <c r="G25" i="7"/>
  <c r="Z25" i="7" s="1"/>
  <c r="AA25" i="7" s="1"/>
  <c r="F36" i="7"/>
  <c r="Y36" i="7" s="1"/>
  <c r="G37" i="7"/>
  <c r="Z37" i="7" s="1"/>
  <c r="AA37" i="7" s="1"/>
  <c r="F48" i="7"/>
  <c r="Y48" i="7" s="1"/>
  <c r="G49" i="7"/>
  <c r="Z49" i="7" s="1"/>
  <c r="AA49" i="7" s="1"/>
  <c r="F60" i="7"/>
  <c r="Y60" i="7" s="1"/>
  <c r="G61" i="7"/>
  <c r="Z61" i="7" s="1"/>
  <c r="AA61" i="7" s="1"/>
  <c r="F72" i="7"/>
  <c r="Y72" i="7" s="1"/>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Y139" i="7" s="1"/>
  <c r="F140" i="7"/>
  <c r="Y140" i="7" s="1"/>
  <c r="G150" i="7"/>
  <c r="Z150" i="7" s="1"/>
  <c r="AA150" i="7" s="1"/>
  <c r="F151" i="7"/>
  <c r="Y151" i="7" s="1"/>
  <c r="G162" i="7"/>
  <c r="Z162" i="7" s="1"/>
  <c r="AA162" i="7" s="1"/>
  <c r="F163" i="7"/>
  <c r="Y163" i="7" s="1"/>
  <c r="G172" i="7"/>
  <c r="Z172" i="7" s="1"/>
  <c r="AA172" i="7" s="1"/>
  <c r="G181" i="7"/>
  <c r="Z181" i="7" s="1"/>
  <c r="AA181" i="7" s="1"/>
  <c r="F182" i="7"/>
  <c r="Y182" i="7" s="1"/>
  <c r="F191" i="7"/>
  <c r="Y191" i="7" s="1"/>
  <c r="G200" i="7"/>
  <c r="Z200" i="7" s="1"/>
  <c r="AA200" i="7" s="1"/>
  <c r="F201" i="7"/>
  <c r="Y201" i="7" s="1"/>
  <c r="G209" i="7"/>
  <c r="Z209" i="7" s="1"/>
  <c r="AA209" i="7" s="1"/>
  <c r="F210" i="7"/>
  <c r="Y210" i="7" s="1"/>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Y258" i="7" s="1"/>
  <c r="G268" i="7"/>
  <c r="Z268" i="7" s="1"/>
  <c r="AA268" i="7" s="1"/>
  <c r="F269" i="7"/>
  <c r="Y269" i="7" s="1"/>
  <c r="F280" i="7"/>
  <c r="Y280" i="7" s="1"/>
  <c r="G291" i="7"/>
  <c r="Z291" i="7" s="1"/>
  <c r="AA291" i="7" s="1"/>
  <c r="F292" i="7"/>
  <c r="Y292" i="7" s="1"/>
  <c r="G302" i="7"/>
  <c r="Z302" i="7" s="1"/>
  <c r="AA302" i="7" s="1"/>
  <c r="F303" i="7"/>
  <c r="Y303" i="7" s="1"/>
  <c r="F314" i="7"/>
  <c r="Y314" i="7" s="1"/>
  <c r="G17" i="7"/>
  <c r="F23" i="7"/>
  <c r="Y23" i="7" s="1"/>
  <c r="G24" i="7"/>
  <c r="Z24" i="7" s="1"/>
  <c r="AA24" i="7" s="1"/>
  <c r="F35" i="7"/>
  <c r="Y35" i="7" s="1"/>
  <c r="G36" i="7"/>
  <c r="Z36" i="7" s="1"/>
  <c r="AA36" i="7" s="1"/>
  <c r="F47" i="7"/>
  <c r="Y47" i="7" s="1"/>
  <c r="G48" i="7"/>
  <c r="Z48" i="7" s="1"/>
  <c r="AA48" i="7" s="1"/>
  <c r="F59" i="7"/>
  <c r="Y59" i="7" s="1"/>
  <c r="G60" i="7"/>
  <c r="Z60" i="7" s="1"/>
  <c r="AA60" i="7" s="1"/>
  <c r="F71" i="7"/>
  <c r="Y71" i="7" s="1"/>
  <c r="G72" i="7"/>
  <c r="Z72" i="7" s="1"/>
  <c r="AA72" i="7" s="1"/>
  <c r="F83" i="7"/>
  <c r="Y83" i="7" s="1"/>
  <c r="G84" i="7"/>
  <c r="Z84" i="7" s="1"/>
  <c r="AA84" i="7" s="1"/>
  <c r="F97" i="7"/>
  <c r="Y97" i="7" s="1"/>
  <c r="G98" i="7"/>
  <c r="Z98" i="7" s="1"/>
  <c r="AA98" i="7" s="1"/>
  <c r="F114" i="7"/>
  <c r="Y114" i="7" s="1"/>
  <c r="F115" i="7"/>
  <c r="Y115" i="7" s="1"/>
  <c r="F116" i="7"/>
  <c r="Y116" i="7" s="1"/>
  <c r="F117" i="7"/>
  <c r="Y117" i="7" s="1"/>
  <c r="G118" i="7"/>
  <c r="Z118" i="7" s="1"/>
  <c r="AA118" i="7" s="1"/>
  <c r="F119" i="7"/>
  <c r="Y119" i="7" s="1"/>
  <c r="F120" i="7"/>
  <c r="Y120" i="7" s="1"/>
  <c r="F127" i="7"/>
  <c r="Y127" i="7" s="1"/>
  <c r="G128" i="7"/>
  <c r="Z128" i="7" s="1"/>
  <c r="AA128" i="7" s="1"/>
  <c r="G131" i="7"/>
  <c r="Z131" i="7" s="1"/>
  <c r="AA131" i="7" s="1"/>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Z151" i="7" s="1"/>
  <c r="AA151" i="7" s="1"/>
  <c r="F152" i="7"/>
  <c r="Y152" i="7" s="1"/>
  <c r="G163" i="7"/>
  <c r="Z163" i="7" s="1"/>
  <c r="AA163" i="7" s="1"/>
  <c r="F164" i="7"/>
  <c r="Y164" i="7" s="1"/>
  <c r="F173" i="7"/>
  <c r="Y173" i="7" s="1"/>
  <c r="G182" i="7"/>
  <c r="Z182" i="7" s="1"/>
  <c r="AA182" i="7" s="1"/>
  <c r="G191" i="7"/>
  <c r="Z191" i="7" s="1"/>
  <c r="AA191" i="7" s="1"/>
  <c r="F192" i="7"/>
  <c r="Y192" i="7" s="1"/>
  <c r="G201" i="7"/>
  <c r="Z201" i="7" s="1"/>
  <c r="AA201" i="7" s="1"/>
  <c r="F202" i="7"/>
  <c r="Y202" i="7" s="1"/>
  <c r="G210" i="7"/>
  <c r="Z210" i="7" s="1"/>
  <c r="AA210" i="7" s="1"/>
  <c r="F219" i="7"/>
  <c r="Y219" i="7" s="1"/>
  <c r="G228" i="7"/>
  <c r="Z228" i="7" s="1"/>
  <c r="AA228" i="7" s="1"/>
  <c r="F229" i="7"/>
  <c r="Y229" i="7" s="1"/>
  <c r="G239" i="7"/>
  <c r="Z239" i="7" s="1"/>
  <c r="AA239" i="7" s="1"/>
  <c r="F240" i="7"/>
  <c r="Y240" i="7" s="1"/>
  <c r="G248" i="7"/>
  <c r="Z248" i="7" s="1"/>
  <c r="AA248" i="7" s="1"/>
  <c r="G258" i="7"/>
  <c r="Z258" i="7" s="1"/>
  <c r="AA258" i="7" s="1"/>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Y34" i="7" s="1"/>
  <c r="G35" i="7"/>
  <c r="Z35" i="7" s="1"/>
  <c r="AA35" i="7" s="1"/>
  <c r="F46" i="7"/>
  <c r="Y46" i="7" s="1"/>
  <c r="G47" i="7"/>
  <c r="Z47" i="7" s="1"/>
  <c r="AA47" i="7" s="1"/>
  <c r="F58" i="7"/>
  <c r="Y58" i="7" s="1"/>
  <c r="G59" i="7"/>
  <c r="Z59" i="7" s="1"/>
  <c r="AA59" i="7" s="1"/>
  <c r="F70" i="7"/>
  <c r="Y70" i="7" s="1"/>
  <c r="G71" i="7"/>
  <c r="Z71" i="7" s="1"/>
  <c r="AA71" i="7" s="1"/>
  <c r="F82" i="7"/>
  <c r="Y82" i="7" s="1"/>
  <c r="G83" i="7"/>
  <c r="Z83" i="7" s="1"/>
  <c r="AA83" i="7" s="1"/>
  <c r="F96" i="7"/>
  <c r="Y96" i="7" s="1"/>
  <c r="G97" i="7"/>
  <c r="Z97" i="7" s="1"/>
  <c r="AA97" i="7" s="1"/>
  <c r="F111" i="7"/>
  <c r="Y111" i="7" s="1"/>
  <c r="F112" i="7"/>
  <c r="Y112" i="7" s="1"/>
  <c r="F113" i="7"/>
  <c r="Y113" i="7" s="1"/>
  <c r="G114" i="7"/>
  <c r="Z114" i="7" s="1"/>
  <c r="AA114" i="7" s="1"/>
  <c r="G115" i="7"/>
  <c r="Z115" i="7" s="1"/>
  <c r="AA115" i="7" s="1"/>
  <c r="G116" i="7"/>
  <c r="Z116" i="7" s="1"/>
  <c r="AA116" i="7" s="1"/>
  <c r="G117" i="7"/>
  <c r="Z117" i="7" s="1"/>
  <c r="AA117" i="7" s="1"/>
  <c r="G119" i="7"/>
  <c r="Z119" i="7" s="1"/>
  <c r="AA119" i="7" s="1"/>
  <c r="G120" i="7"/>
  <c r="Z120" i="7" s="1"/>
  <c r="AA120" i="7" s="1"/>
  <c r="F121" i="7"/>
  <c r="Y121" i="7" s="1"/>
  <c r="F122" i="7"/>
  <c r="Y122" i="7" s="1"/>
  <c r="F123" i="7"/>
  <c r="Y123" i="7" s="1"/>
  <c r="F124" i="7"/>
  <c r="Y124" i="7" s="1"/>
  <c r="F125" i="7"/>
  <c r="Y125" i="7" s="1"/>
  <c r="F126" i="7"/>
  <c r="Y126" i="7" s="1"/>
  <c r="G127" i="7"/>
  <c r="Z127" i="7" s="1"/>
  <c r="AA127" i="7" s="1"/>
  <c r="G141" i="7"/>
  <c r="Z141" i="7" s="1"/>
  <c r="AA141" i="7" s="1"/>
  <c r="F142" i="7"/>
  <c r="Y142" i="7" s="1"/>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Z219" i="7" s="1"/>
  <c r="AA219" i="7" s="1"/>
  <c r="F220" i="7"/>
  <c r="Y220" i="7" s="1"/>
  <c r="G229" i="7"/>
  <c r="Z229" i="7" s="1"/>
  <c r="AA229" i="7" s="1"/>
  <c r="F230" i="7"/>
  <c r="Y230" i="7" s="1"/>
  <c r="G240" i="7"/>
  <c r="Z240" i="7" s="1"/>
  <c r="AA240" i="7" s="1"/>
  <c r="F241" i="7"/>
  <c r="Y241" i="7" s="1"/>
  <c r="F249" i="7"/>
  <c r="Y249" i="7" s="1"/>
  <c r="G259" i="7"/>
  <c r="Z259" i="7" s="1"/>
  <c r="AA259" i="7" s="1"/>
  <c r="F260" i="7"/>
  <c r="Y260" i="7" s="1"/>
  <c r="G270" i="7"/>
  <c r="Z270" i="7" s="1"/>
  <c r="AA270" i="7" s="1"/>
  <c r="F271" i="7"/>
  <c r="Y271" i="7" s="1"/>
  <c r="G281" i="7"/>
  <c r="Z281" i="7" s="1"/>
  <c r="AA281" i="7" s="1"/>
  <c r="F282" i="7"/>
  <c r="Y282" i="7" s="1"/>
  <c r="G293" i="7"/>
  <c r="Z293" i="7" s="1"/>
  <c r="AA293" i="7" s="1"/>
  <c r="F294" i="7"/>
  <c r="Y294" i="7" s="1"/>
  <c r="G304" i="7"/>
  <c r="Z304" i="7" s="1"/>
  <c r="AA304" i="7" s="1"/>
  <c r="F305" i="7"/>
  <c r="Y305" i="7" s="1"/>
  <c r="G315" i="7"/>
  <c r="Z315" i="7" s="1"/>
  <c r="AA315" i="7" s="1"/>
  <c r="F33" i="7"/>
  <c r="Y33" i="7" s="1"/>
  <c r="G34" i="7"/>
  <c r="Z34" i="7" s="1"/>
  <c r="AA34" i="7" s="1"/>
  <c r="F45" i="7"/>
  <c r="Y45" i="7" s="1"/>
  <c r="G46" i="7"/>
  <c r="Z46" i="7" s="1"/>
  <c r="AA46" i="7" s="1"/>
  <c r="F57" i="7"/>
  <c r="Y57" i="7" s="1"/>
  <c r="G58" i="7"/>
  <c r="Z58" i="7" s="1"/>
  <c r="AA58" i="7" s="1"/>
  <c r="F69" i="7"/>
  <c r="Y69" i="7" s="1"/>
  <c r="G70" i="7"/>
  <c r="Z70" i="7" s="1"/>
  <c r="AA70" i="7" s="1"/>
  <c r="F81" i="7"/>
  <c r="Y81" i="7" s="1"/>
  <c r="G82" i="7"/>
  <c r="Z82" i="7" s="1"/>
  <c r="AA82" i="7" s="1"/>
  <c r="F95" i="7"/>
  <c r="Y95" i="7" s="1"/>
  <c r="G96" i="7"/>
  <c r="Z96" i="7" s="1"/>
  <c r="AA96" i="7" s="1"/>
  <c r="F110" i="7"/>
  <c r="G111" i="7"/>
  <c r="Z111" i="7" s="1"/>
  <c r="AA111" i="7" s="1"/>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Z126" i="7" s="1"/>
  <c r="AA126" i="7" s="1"/>
  <c r="G142" i="7"/>
  <c r="Z142" i="7" s="1"/>
  <c r="AA142" i="7" s="1"/>
  <c r="F143" i="7"/>
  <c r="Y143" i="7" s="1"/>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Z220" i="7" s="1"/>
  <c r="AA220" i="7" s="1"/>
  <c r="G230" i="7"/>
  <c r="Z230" i="7" s="1"/>
  <c r="AA230" i="7" s="1"/>
  <c r="F231" i="7"/>
  <c r="Y231" i="7" s="1"/>
  <c r="G241" i="7"/>
  <c r="Z241" i="7" s="1"/>
  <c r="AA241" i="7" s="1"/>
  <c r="F242" i="7"/>
  <c r="Y242" i="7" s="1"/>
  <c r="G249" i="7"/>
  <c r="Z249" i="7" s="1"/>
  <c r="AA249" i="7" s="1"/>
  <c r="F250" i="7"/>
  <c r="Y250" i="7" s="1"/>
  <c r="G260" i="7"/>
  <c r="Z260" i="7" s="1"/>
  <c r="AA260" i="7" s="1"/>
  <c r="G271" i="7"/>
  <c r="Z271" i="7" s="1"/>
  <c r="AA271" i="7" s="1"/>
  <c r="F272" i="7"/>
  <c r="Y272" i="7" s="1"/>
  <c r="G282" i="7"/>
  <c r="Z282" i="7" s="1"/>
  <c r="AA282" i="7" s="1"/>
  <c r="F283" i="7"/>
  <c r="Y283" i="7" s="1"/>
  <c r="G294" i="7"/>
  <c r="Z294" i="7" s="1"/>
  <c r="AA294" i="7" s="1"/>
  <c r="F295" i="7"/>
  <c r="Y295" i="7" s="1"/>
  <c r="G305" i="7"/>
  <c r="Z305" i="7" s="1"/>
  <c r="AA305" i="7" s="1"/>
  <c r="F306" i="7"/>
  <c r="Y306" i="7" s="1"/>
  <c r="F22" i="7"/>
  <c r="Y22" i="7" s="1"/>
  <c r="F32" i="7"/>
  <c r="Y32" i="7" s="1"/>
  <c r="G33" i="7"/>
  <c r="Z33" i="7" s="1"/>
  <c r="AA33" i="7" s="1"/>
  <c r="F44" i="7"/>
  <c r="Y44" i="7" s="1"/>
  <c r="G45" i="7"/>
  <c r="Z45" i="7" s="1"/>
  <c r="AA45" i="7" s="1"/>
  <c r="F56" i="7"/>
  <c r="Y56" i="7" s="1"/>
  <c r="G57" i="7"/>
  <c r="Z57" i="7" s="1"/>
  <c r="AA57" i="7" s="1"/>
  <c r="F68" i="7"/>
  <c r="Y68" i="7" s="1"/>
  <c r="G69" i="7"/>
  <c r="Z69" i="7" s="1"/>
  <c r="AA69" i="7" s="1"/>
  <c r="F80" i="7"/>
  <c r="Y80" i="7" s="1"/>
  <c r="G81" i="7"/>
  <c r="Z81" i="7" s="1"/>
  <c r="AA81" i="7" s="1"/>
  <c r="F94" i="7"/>
  <c r="Y94" i="7" s="1"/>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Z184" i="7" s="1"/>
  <c r="AA184" i="7" s="1"/>
  <c r="F185" i="7"/>
  <c r="Y185" i="7" s="1"/>
  <c r="G194" i="7"/>
  <c r="Z194" i="7" s="1"/>
  <c r="AA194" i="7" s="1"/>
  <c r="F195" i="7"/>
  <c r="Y195" i="7" s="1"/>
  <c r="G203" i="7"/>
  <c r="Z203" i="7" s="1"/>
  <c r="AA203" i="7" s="1"/>
  <c r="F204" i="7"/>
  <c r="Y204" i="7" s="1"/>
  <c r="G212" i="7"/>
  <c r="Z212" i="7" s="1"/>
  <c r="AA212" i="7" s="1"/>
  <c r="F221" i="7"/>
  <c r="Y221" i="7" s="1"/>
  <c r="G231" i="7"/>
  <c r="Z231" i="7" s="1"/>
  <c r="AA231" i="7" s="1"/>
  <c r="F232" i="7"/>
  <c r="Y232" i="7" s="1"/>
  <c r="G242" i="7"/>
  <c r="Z242" i="7" s="1"/>
  <c r="AA242" i="7" s="1"/>
  <c r="F243" i="7"/>
  <c r="Y243" i="7" s="1"/>
  <c r="G250" i="7"/>
  <c r="Z250" i="7" s="1"/>
  <c r="AA250" i="7" s="1"/>
  <c r="F251" i="7"/>
  <c r="Y251" i="7" s="1"/>
  <c r="F261" i="7"/>
  <c r="Y261" i="7" s="1"/>
  <c r="G272" i="7"/>
  <c r="Z272" i="7" s="1"/>
  <c r="AA272" i="7" s="1"/>
  <c r="F273" i="7"/>
  <c r="Y273" i="7" s="1"/>
  <c r="G283" i="7"/>
  <c r="Z283" i="7" s="1"/>
  <c r="AA283" i="7" s="1"/>
  <c r="F284" i="7"/>
  <c r="Y284" i="7" s="1"/>
  <c r="G295" i="7"/>
  <c r="Z295" i="7" s="1"/>
  <c r="AA295" i="7" s="1"/>
  <c r="G306" i="7"/>
  <c r="Z306" i="7" s="1"/>
  <c r="AA306" i="7" s="1"/>
  <c r="F307" i="7"/>
  <c r="Y307" i="7" s="1"/>
  <c r="F31" i="7"/>
  <c r="Y31" i="7" s="1"/>
  <c r="G32" i="7"/>
  <c r="Z32" i="7" s="1"/>
  <c r="AA32" i="7" s="1"/>
  <c r="F43" i="7"/>
  <c r="Y43" i="7" s="1"/>
  <c r="G44" i="7"/>
  <c r="Z44" i="7" s="1"/>
  <c r="AA44" i="7" s="1"/>
  <c r="F55" i="7"/>
  <c r="Y55" i="7" s="1"/>
  <c r="G56" i="7"/>
  <c r="Z56" i="7" s="1"/>
  <c r="AA56" i="7" s="1"/>
  <c r="F16" i="7"/>
  <c r="Y16" i="7" s="1"/>
  <c r="F21" i="7"/>
  <c r="Y21" i="7" s="1"/>
  <c r="F30" i="7"/>
  <c r="Y30" i="7" s="1"/>
  <c r="G31" i="7"/>
  <c r="Z31" i="7" s="1"/>
  <c r="AA31" i="7" s="1"/>
  <c r="F42" i="7"/>
  <c r="Y42" i="7" s="1"/>
  <c r="G43" i="7"/>
  <c r="Z43" i="7" s="1"/>
  <c r="AA43" i="7" s="1"/>
  <c r="F54" i="7"/>
  <c r="G55" i="7"/>
  <c r="Z55" i="7" s="1"/>
  <c r="AA55" i="7" s="1"/>
  <c r="F66" i="7"/>
  <c r="Y66" i="7" s="1"/>
  <c r="G67" i="7"/>
  <c r="Z67" i="7" s="1"/>
  <c r="AA67" i="7" s="1"/>
  <c r="F78" i="7"/>
  <c r="Y78" i="7" s="1"/>
  <c r="G79" i="7"/>
  <c r="Z79" i="7" s="1"/>
  <c r="AA79" i="7" s="1"/>
  <c r="F92" i="7"/>
  <c r="Y92" i="7" s="1"/>
  <c r="G93" i="7"/>
  <c r="Z93" i="7" s="1"/>
  <c r="AA93" i="7" s="1"/>
  <c r="F106" i="7"/>
  <c r="Y106" i="7" s="1"/>
  <c r="G107" i="7"/>
  <c r="Z107" i="7" s="1"/>
  <c r="AA107" i="7" s="1"/>
  <c r="G108" i="7"/>
  <c r="Z108" i="7" s="1"/>
  <c r="AA108" i="7" s="1"/>
  <c r="G145" i="7"/>
  <c r="Z145" i="7" s="1"/>
  <c r="AA145" i="7" s="1"/>
  <c r="F146" i="7"/>
  <c r="Y146" i="7" s="1"/>
  <c r="G156" i="7"/>
  <c r="Z156" i="7" s="1"/>
  <c r="AA156" i="7" s="1"/>
  <c r="F157" i="7"/>
  <c r="Y157" i="7" s="1"/>
  <c r="F167" i="7"/>
  <c r="Y167" i="7" s="1"/>
  <c r="G176" i="7"/>
  <c r="Z176" i="7" s="1"/>
  <c r="AA176" i="7" s="1"/>
  <c r="F177" i="7"/>
  <c r="Y177" i="7" s="1"/>
  <c r="G186" i="7"/>
  <c r="Z186" i="7" s="1"/>
  <c r="AA186" i="7" s="1"/>
  <c r="F187" i="7"/>
  <c r="Y187" i="7" s="1"/>
  <c r="G196" i="7"/>
  <c r="Z196" i="7" s="1"/>
  <c r="AA196" i="7" s="1"/>
  <c r="F205" i="7"/>
  <c r="Y205" i="7" s="1"/>
  <c r="G213" i="7"/>
  <c r="Z213" i="7" s="1"/>
  <c r="AA213" i="7" s="1"/>
  <c r="F214" i="7"/>
  <c r="Y214" i="7" s="1"/>
  <c r="G222" i="7"/>
  <c r="Z222" i="7" s="1"/>
  <c r="AA222" i="7" s="1"/>
  <c r="G233" i="7"/>
  <c r="Z233" i="7" s="1"/>
  <c r="AA233" i="7" s="1"/>
  <c r="F234" i="7"/>
  <c r="Y234" i="7" s="1"/>
  <c r="F244" i="7"/>
  <c r="Y244" i="7" s="1"/>
  <c r="G252" i="7"/>
  <c r="Z252" i="7" s="1"/>
  <c r="AA252" i="7" s="1"/>
  <c r="G262" i="7"/>
  <c r="Z262" i="7" s="1"/>
  <c r="AA262" i="7" s="1"/>
  <c r="F263" i="7"/>
  <c r="Y263" i="7" s="1"/>
  <c r="G274" i="7"/>
  <c r="Z274" i="7" s="1"/>
  <c r="AA274" i="7" s="1"/>
  <c r="F275" i="7"/>
  <c r="Y275" i="7" s="1"/>
  <c r="G285" i="7"/>
  <c r="Z285" i="7" s="1"/>
  <c r="AA285" i="7" s="1"/>
  <c r="F286" i="7"/>
  <c r="Y286" i="7" s="1"/>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Y53" i="7" s="1"/>
  <c r="G54" i="7"/>
  <c r="Z54" i="7" s="1"/>
  <c r="AA54" i="7" s="1"/>
  <c r="F65" i="7"/>
  <c r="Y65" i="7" s="1"/>
  <c r="G66" i="7"/>
  <c r="Z66" i="7" s="1"/>
  <c r="AA66" i="7" s="1"/>
  <c r="F77" i="7"/>
  <c r="Y77" i="7" s="1"/>
  <c r="G78" i="7"/>
  <c r="Z78" i="7" s="1"/>
  <c r="AA78" i="7" s="1"/>
  <c r="F91" i="7"/>
  <c r="Y91" i="7" s="1"/>
  <c r="G92" i="7"/>
  <c r="F105" i="7"/>
  <c r="Y105" i="7" s="1"/>
  <c r="G106" i="7"/>
  <c r="Z106" i="7" s="1"/>
  <c r="AA106" i="7" s="1"/>
  <c r="G146" i="7"/>
  <c r="Z146" i="7" s="1"/>
  <c r="AA146" i="7" s="1"/>
  <c r="F147" i="7"/>
  <c r="Y147" i="7" s="1"/>
  <c r="G157" i="7"/>
  <c r="Z157" i="7" s="1"/>
  <c r="AA157" i="7" s="1"/>
  <c r="F158" i="7"/>
  <c r="Y158" i="7" s="1"/>
  <c r="G167" i="7"/>
  <c r="Z167" i="7" s="1"/>
  <c r="AA167" i="7" s="1"/>
  <c r="F168" i="7"/>
  <c r="Y168" i="7" s="1"/>
  <c r="G177" i="7"/>
  <c r="Z177" i="7" s="1"/>
  <c r="AA177" i="7" s="1"/>
  <c r="F178" i="7"/>
  <c r="Y178" i="7" s="1"/>
  <c r="G187" i="7"/>
  <c r="Z187" i="7" s="1"/>
  <c r="AA187" i="7" s="1"/>
  <c r="F188" i="7"/>
  <c r="Y188" i="7" s="1"/>
  <c r="F197" i="7"/>
  <c r="Y197" i="7" s="1"/>
  <c r="G205" i="7"/>
  <c r="Z205" i="7" s="1"/>
  <c r="AA205" i="7" s="1"/>
  <c r="F206" i="7"/>
  <c r="Y206" i="7" s="1"/>
  <c r="G214" i="7"/>
  <c r="Z214" i="7" s="1"/>
  <c r="AA214" i="7" s="1"/>
  <c r="F223" i="7"/>
  <c r="Y223" i="7" s="1"/>
  <c r="G234" i="7"/>
  <c r="Z234" i="7" s="1"/>
  <c r="AA234" i="7" s="1"/>
  <c r="F235" i="7"/>
  <c r="Y235" i="7" s="1"/>
  <c r="G244" i="7"/>
  <c r="Z244" i="7" s="1"/>
  <c r="AA244" i="7" s="1"/>
  <c r="F253" i="7"/>
  <c r="Y253" i="7" s="1"/>
  <c r="G263" i="7"/>
  <c r="Z263" i="7" s="1"/>
  <c r="AA263" i="7" s="1"/>
  <c r="F264" i="7"/>
  <c r="Y264" i="7" s="1"/>
  <c r="G275" i="7"/>
  <c r="Z275" i="7" s="1"/>
  <c r="AA275" i="7" s="1"/>
  <c r="F276" i="7"/>
  <c r="Y276" i="7" s="1"/>
  <c r="G286" i="7"/>
  <c r="Z286" i="7" s="1"/>
  <c r="AA286" i="7" s="1"/>
  <c r="F287" i="7"/>
  <c r="Y287" i="7" s="1"/>
  <c r="G297" i="7"/>
  <c r="Z297" i="7" s="1"/>
  <c r="AA297" i="7" s="1"/>
  <c r="F298" i="7"/>
  <c r="Y298" i="7" s="1"/>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Z77" i="7" s="1"/>
  <c r="AA77" i="7" s="1"/>
  <c r="F90" i="7"/>
  <c r="Y90" i="7" s="1"/>
  <c r="G91" i="7"/>
  <c r="Z91" i="7" s="1"/>
  <c r="AA91" i="7" s="1"/>
  <c r="F104" i="7"/>
  <c r="Y104" i="7" s="1"/>
  <c r="G105" i="7"/>
  <c r="Z105" i="7" s="1"/>
  <c r="AA105" i="7" s="1"/>
  <c r="G147" i="7"/>
  <c r="Z147" i="7" s="1"/>
  <c r="AA147" i="7" s="1"/>
  <c r="F148" i="7"/>
  <c r="Y148" i="7" s="1"/>
  <c r="G158" i="7"/>
  <c r="Z158" i="7" s="1"/>
  <c r="AA158" i="7" s="1"/>
  <c r="F159" i="7"/>
  <c r="Y159" i="7" s="1"/>
  <c r="G168" i="7"/>
  <c r="Z168" i="7" s="1"/>
  <c r="AA168" i="7" s="1"/>
  <c r="F169" i="7"/>
  <c r="Y169" i="7" s="1"/>
  <c r="G178" i="7"/>
  <c r="Z178" i="7" s="1"/>
  <c r="AA178" i="7" s="1"/>
  <c r="F179" i="7"/>
  <c r="Y179" i="7" s="1"/>
  <c r="G188" i="7"/>
  <c r="Z188" i="7" s="1"/>
  <c r="AA188" i="7" s="1"/>
  <c r="G197" i="7"/>
  <c r="Z197" i="7" s="1"/>
  <c r="AA197" i="7" s="1"/>
  <c r="F198" i="7"/>
  <c r="Y198" i="7" s="1"/>
  <c r="G206" i="7"/>
  <c r="Z206" i="7" s="1"/>
  <c r="AA206" i="7" s="1"/>
  <c r="F215" i="7"/>
  <c r="Y215" i="7" s="1"/>
  <c r="G223" i="7"/>
  <c r="Z223" i="7" s="1"/>
  <c r="AA223" i="7" s="1"/>
  <c r="F224" i="7"/>
  <c r="Y224" i="7" s="1"/>
  <c r="G235" i="7"/>
  <c r="Z235" i="7" s="1"/>
  <c r="AA235" i="7" s="1"/>
  <c r="F236" i="7"/>
  <c r="Y236" i="7" s="1"/>
  <c r="F245" i="7"/>
  <c r="Y245" i="7" s="1"/>
  <c r="G253" i="7"/>
  <c r="Z253" i="7" s="1"/>
  <c r="AA253" i="7" s="1"/>
  <c r="F254" i="7"/>
  <c r="Y254" i="7" s="1"/>
  <c r="G264" i="7"/>
  <c r="Z264" i="7" s="1"/>
  <c r="AA264" i="7" s="1"/>
  <c r="F265" i="7"/>
  <c r="Y265" i="7" s="1"/>
  <c r="G276" i="7"/>
  <c r="Z276" i="7" s="1"/>
  <c r="AA276" i="7" s="1"/>
  <c r="F277" i="7"/>
  <c r="Y277" i="7" s="1"/>
  <c r="G287" i="7"/>
  <c r="Z287" i="7" s="1"/>
  <c r="AA287" i="7" s="1"/>
  <c r="F288" i="7"/>
  <c r="Y288" i="7" s="1"/>
  <c r="G298" i="7"/>
  <c r="Z298" i="7" s="1"/>
  <c r="AA298" i="7" s="1"/>
  <c r="F299" i="7"/>
  <c r="Y299" i="7" s="1"/>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Y103" i="7" s="1"/>
  <c r="G104" i="7"/>
  <c r="Z104" i="7" s="1"/>
  <c r="AA104" i="7" s="1"/>
  <c r="G148" i="7"/>
  <c r="Z148" i="7" s="1"/>
  <c r="AA148" i="7" s="1"/>
  <c r="G159" i="7"/>
  <c r="Z159" i="7" s="1"/>
  <c r="AA159" i="7" s="1"/>
  <c r="F160" i="7"/>
  <c r="Y160" i="7" s="1"/>
  <c r="G169" i="7"/>
  <c r="Z169" i="7" s="1"/>
  <c r="AA169" i="7" s="1"/>
  <c r="F170" i="7"/>
  <c r="Y170" i="7" s="1"/>
  <c r="G179" i="7"/>
  <c r="Z179" i="7" s="1"/>
  <c r="AA179" i="7" s="1"/>
  <c r="F180" i="7"/>
  <c r="Y180" i="7" s="1"/>
  <c r="F189" i="7"/>
  <c r="Y189" i="7" s="1"/>
  <c r="G198" i="7"/>
  <c r="Z198" i="7" s="1"/>
  <c r="AA198" i="7" s="1"/>
  <c r="F207" i="7"/>
  <c r="Y207" i="7" s="1"/>
  <c r="G215" i="7"/>
  <c r="Z215" i="7" s="1"/>
  <c r="AA215" i="7" s="1"/>
  <c r="F216" i="7"/>
  <c r="Y216" i="7" s="1"/>
  <c r="G224" i="7"/>
  <c r="Z224" i="7" s="1"/>
  <c r="AA224" i="7" s="1"/>
  <c r="F225" i="7"/>
  <c r="Y225" i="7" s="1"/>
  <c r="G236" i="7"/>
  <c r="Z236" i="7" s="1"/>
  <c r="AA236" i="7" s="1"/>
  <c r="G245" i="7"/>
  <c r="Z245" i="7" s="1"/>
  <c r="AA245" i="7" s="1"/>
  <c r="F246" i="7"/>
  <c r="Y246" i="7" s="1"/>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Z155" i="7" s="1"/>
  <c r="AA155" i="7" s="1"/>
  <c r="F156" i="7"/>
  <c r="Y156" i="7" s="1"/>
  <c r="G175" i="7"/>
  <c r="Z175" i="7" s="1"/>
  <c r="AA175" i="7" s="1"/>
  <c r="F176" i="7"/>
  <c r="Y176" i="7" s="1"/>
  <c r="G251" i="7"/>
  <c r="Z251" i="7" s="1"/>
  <c r="AA251" i="7" s="1"/>
  <c r="F252" i="7"/>
  <c r="Y252" i="7" s="1"/>
  <c r="G289" i="7"/>
  <c r="Z289" i="7" s="1"/>
  <c r="AA289" i="7" s="1"/>
  <c r="F290" i="7"/>
  <c r="Y290" i="7" s="1"/>
  <c r="G321" i="7"/>
  <c r="Z321" i="7" s="1"/>
  <c r="AA321" i="7" s="1"/>
  <c r="F322" i="7"/>
  <c r="Y322" i="7" s="1"/>
  <c r="F332" i="7"/>
  <c r="Y332" i="7" s="1"/>
  <c r="G342" i="7"/>
  <c r="Z342" i="7" s="1"/>
  <c r="AA342" i="7" s="1"/>
  <c r="F343" i="7"/>
  <c r="Y343" i="7" s="1"/>
  <c r="G353" i="7"/>
  <c r="Z353" i="7" s="1"/>
  <c r="AA353" i="7" s="1"/>
  <c r="F354" i="7"/>
  <c r="Y354" i="7" s="1"/>
  <c r="G365" i="7"/>
  <c r="Z365" i="7" s="1"/>
  <c r="AA365" i="7" s="1"/>
  <c r="F366" i="7"/>
  <c r="Y366" i="7" s="1"/>
  <c r="G377" i="7"/>
  <c r="Z377" i="7" s="1"/>
  <c r="AA377" i="7" s="1"/>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Z462" i="7" s="1"/>
  <c r="AA462" i="7" s="1"/>
  <c r="F463" i="7"/>
  <c r="Y463" i="7" s="1"/>
  <c r="G473" i="7"/>
  <c r="Z473" i="7" s="1"/>
  <c r="AA473" i="7" s="1"/>
  <c r="F474" i="7"/>
  <c r="Y474" i="7" s="1"/>
  <c r="G483" i="7"/>
  <c r="Z483" i="7" s="1"/>
  <c r="AA483" i="7" s="1"/>
  <c r="F484" i="7"/>
  <c r="Y484" i="7" s="1"/>
  <c r="G494" i="7"/>
  <c r="Z494" i="7" s="1"/>
  <c r="AA494" i="7" s="1"/>
  <c r="F495" i="7"/>
  <c r="Y495" i="7" s="1"/>
  <c r="G506" i="7"/>
  <c r="Z506" i="7" s="1"/>
  <c r="AA506" i="7" s="1"/>
  <c r="F507" i="7"/>
  <c r="Y507" i="7" s="1"/>
  <c r="G517" i="7"/>
  <c r="Z517" i="7" s="1"/>
  <c r="AA517" i="7" s="1"/>
  <c r="F518" i="7"/>
  <c r="Y518" i="7" s="1"/>
  <c r="G529" i="7"/>
  <c r="Z529" i="7" s="1"/>
  <c r="AA529" i="7" s="1"/>
  <c r="F530" i="7"/>
  <c r="Y530" i="7" s="1"/>
  <c r="G540" i="7"/>
  <c r="Z540" i="7" s="1"/>
  <c r="AA540" i="7" s="1"/>
  <c r="F541" i="7"/>
  <c r="Y541" i="7" s="1"/>
  <c r="G551" i="7"/>
  <c r="Z551" i="7" s="1"/>
  <c r="AA551" i="7" s="1"/>
  <c r="F552" i="7"/>
  <c r="Y552" i="7" s="1"/>
  <c r="G563" i="7"/>
  <c r="Z563" i="7" s="1"/>
  <c r="AA563" i="7" s="1"/>
  <c r="F564" i="7"/>
  <c r="Y564" i="7" s="1"/>
  <c r="G575" i="7"/>
  <c r="Z575" i="7" s="1"/>
  <c r="AA575" i="7" s="1"/>
  <c r="F576" i="7"/>
  <c r="Y576" i="7" s="1"/>
  <c r="G586" i="7"/>
  <c r="Z586" i="7" s="1"/>
  <c r="AA586" i="7" s="1"/>
  <c r="F587" i="7"/>
  <c r="Y587" i="7" s="1"/>
  <c r="G597" i="7"/>
  <c r="Z597" i="7" s="1"/>
  <c r="AA597" i="7" s="1"/>
  <c r="F50" i="7"/>
  <c r="Y50" i="7" s="1"/>
  <c r="G63" i="7"/>
  <c r="Z63" i="7" s="1"/>
  <c r="AA63" i="7" s="1"/>
  <c r="G232" i="7"/>
  <c r="Z232" i="7" s="1"/>
  <c r="AA232" i="7" s="1"/>
  <c r="F233" i="7"/>
  <c r="Y233" i="7" s="1"/>
  <c r="G322" i="7"/>
  <c r="Z322" i="7" s="1"/>
  <c r="AA322" i="7" s="1"/>
  <c r="F323" i="7"/>
  <c r="Y323" i="7" s="1"/>
  <c r="G332" i="7"/>
  <c r="Z332" i="7" s="1"/>
  <c r="AA332" i="7" s="1"/>
  <c r="F333" i="7"/>
  <c r="Y333" i="7" s="1"/>
  <c r="G343" i="7"/>
  <c r="Z343" i="7" s="1"/>
  <c r="AA343" i="7" s="1"/>
  <c r="F344" i="7"/>
  <c r="Y344" i="7" s="1"/>
  <c r="G354" i="7"/>
  <c r="Z354" i="7" s="1"/>
  <c r="AA354" i="7" s="1"/>
  <c r="F355" i="7"/>
  <c r="Y355" i="7" s="1"/>
  <c r="G366" i="7"/>
  <c r="Z366" i="7" s="1"/>
  <c r="AA366" i="7" s="1"/>
  <c r="F367" i="7"/>
  <c r="Y367" i="7" s="1"/>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Z484" i="7" s="1"/>
  <c r="AA484" i="7" s="1"/>
  <c r="F485" i="7"/>
  <c r="Y485" i="7" s="1"/>
  <c r="G495" i="7"/>
  <c r="Z495" i="7" s="1"/>
  <c r="AA495" i="7" s="1"/>
  <c r="F496" i="7"/>
  <c r="Y496" i="7" s="1"/>
  <c r="G507" i="7"/>
  <c r="Z507" i="7" s="1"/>
  <c r="AA507" i="7" s="1"/>
  <c r="F508" i="7"/>
  <c r="Y508" i="7" s="1"/>
  <c r="G518" i="7"/>
  <c r="Z518" i="7" s="1"/>
  <c r="AA518" i="7" s="1"/>
  <c r="F519" i="7"/>
  <c r="Y519" i="7" s="1"/>
  <c r="G530" i="7"/>
  <c r="Z530" i="7" s="1"/>
  <c r="AA530" i="7" s="1"/>
  <c r="F531" i="7"/>
  <c r="Y531" i="7" s="1"/>
  <c r="G541" i="7"/>
  <c r="Z541" i="7" s="1"/>
  <c r="AA541" i="7" s="1"/>
  <c r="F542" i="7"/>
  <c r="Y542" i="7" s="1"/>
  <c r="G552" i="7"/>
  <c r="Z552" i="7" s="1"/>
  <c r="AA552" i="7" s="1"/>
  <c r="F553" i="7"/>
  <c r="Y553" i="7" s="1"/>
  <c r="G564" i="7"/>
  <c r="Z564" i="7" s="1"/>
  <c r="AA564" i="7" s="1"/>
  <c r="F565" i="7"/>
  <c r="Y565" i="7" s="1"/>
  <c r="G576" i="7"/>
  <c r="Z576" i="7" s="1"/>
  <c r="AA576" i="7" s="1"/>
  <c r="G587" i="7"/>
  <c r="Z587" i="7" s="1"/>
  <c r="AA587" i="7" s="1"/>
  <c r="F588" i="7"/>
  <c r="Y588" i="7" s="1"/>
  <c r="F67" i="7"/>
  <c r="Y67" i="7" s="1"/>
  <c r="G170" i="7"/>
  <c r="Z170" i="7" s="1"/>
  <c r="AA170" i="7" s="1"/>
  <c r="F171" i="7"/>
  <c r="Y171" i="7" s="1"/>
  <c r="G323" i="7"/>
  <c r="Z323" i="7" s="1"/>
  <c r="AA323" i="7" s="1"/>
  <c r="F324" i="7"/>
  <c r="Y324" i="7" s="1"/>
  <c r="G333" i="7"/>
  <c r="Z333" i="7" s="1"/>
  <c r="AA333" i="7" s="1"/>
  <c r="F334" i="7"/>
  <c r="Y334" i="7" s="1"/>
  <c r="G344" i="7"/>
  <c r="Z344" i="7" s="1"/>
  <c r="AA344" i="7" s="1"/>
  <c r="F345" i="7"/>
  <c r="Y345" i="7" s="1"/>
  <c r="G355" i="7"/>
  <c r="Z355" i="7" s="1"/>
  <c r="AA355" i="7" s="1"/>
  <c r="F356" i="7"/>
  <c r="Y356" i="7" s="1"/>
  <c r="G367" i="7"/>
  <c r="Z367" i="7" s="1"/>
  <c r="AA367" i="7" s="1"/>
  <c r="F368" i="7"/>
  <c r="Y368" i="7" s="1"/>
  <c r="G379" i="7"/>
  <c r="Z379" i="7" s="1"/>
  <c r="AA379" i="7" s="1"/>
  <c r="F380" i="7"/>
  <c r="Y380" i="7" s="1"/>
  <c r="G389" i="7"/>
  <c r="Z389" i="7" s="1"/>
  <c r="AA389" i="7" s="1"/>
  <c r="F390" i="7"/>
  <c r="Y390" i="7" s="1"/>
  <c r="G400" i="7"/>
  <c r="Z400" i="7" s="1"/>
  <c r="AA400" i="7" s="1"/>
  <c r="F401" i="7"/>
  <c r="Y401" i="7" s="1"/>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Y455" i="7" s="1"/>
  <c r="G464" i="7"/>
  <c r="Z464" i="7" s="1"/>
  <c r="AA464" i="7" s="1"/>
  <c r="G475" i="7"/>
  <c r="Z475" i="7" s="1"/>
  <c r="AA475" i="7" s="1"/>
  <c r="F476" i="7"/>
  <c r="Y476" i="7" s="1"/>
  <c r="G485" i="7"/>
  <c r="Z485" i="7" s="1"/>
  <c r="AA485" i="7" s="1"/>
  <c r="F486" i="7"/>
  <c r="Y486" i="7" s="1"/>
  <c r="G496" i="7"/>
  <c r="Z496" i="7" s="1"/>
  <c r="AA496" i="7" s="1"/>
  <c r="F497" i="7"/>
  <c r="Y497" i="7" s="1"/>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Y554" i="7" s="1"/>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Y335" i="7" s="1"/>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Y444" i="7" s="1"/>
  <c r="G455" i="7"/>
  <c r="Z455" i="7" s="1"/>
  <c r="AA455" i="7" s="1"/>
  <c r="F465" i="7"/>
  <c r="Y465" i="7" s="1"/>
  <c r="G476" i="7"/>
  <c r="Z476" i="7" s="1"/>
  <c r="AA476" i="7" s="1"/>
  <c r="G486" i="7"/>
  <c r="Z486" i="7" s="1"/>
  <c r="AA486" i="7" s="1"/>
  <c r="F487" i="7"/>
  <c r="Y487" i="7" s="1"/>
  <c r="G497" i="7"/>
  <c r="Z497" i="7" s="1"/>
  <c r="AA497" i="7" s="1"/>
  <c r="F498" i="7"/>
  <c r="Y498" i="7" s="1"/>
  <c r="G509" i="7"/>
  <c r="Z509" i="7" s="1"/>
  <c r="AA509" i="7" s="1"/>
  <c r="F510" i="7"/>
  <c r="Y510" i="7" s="1"/>
  <c r="G520" i="7"/>
  <c r="Z520" i="7" s="1"/>
  <c r="AA520" i="7" s="1"/>
  <c r="F521" i="7"/>
  <c r="Y521" i="7" s="1"/>
  <c r="G532" i="7"/>
  <c r="Z532" i="7" s="1"/>
  <c r="AA532" i="7" s="1"/>
  <c r="F533" i="7"/>
  <c r="Y533" i="7" s="1"/>
  <c r="G543" i="7"/>
  <c r="Z543" i="7" s="1"/>
  <c r="AA543" i="7" s="1"/>
  <c r="F544" i="7"/>
  <c r="Y544" i="7" s="1"/>
  <c r="G554" i="7"/>
  <c r="Z554" i="7" s="1"/>
  <c r="AA554" i="7" s="1"/>
  <c r="F555" i="7"/>
  <c r="Y555" i="7" s="1"/>
  <c r="G566" i="7"/>
  <c r="Z566" i="7" s="1"/>
  <c r="AA566" i="7" s="1"/>
  <c r="F567" i="7"/>
  <c r="Y567" i="7" s="1"/>
  <c r="G577" i="7"/>
  <c r="Z577" i="7" s="1"/>
  <c r="AA577" i="7" s="1"/>
  <c r="F578" i="7"/>
  <c r="Y578" i="7" s="1"/>
  <c r="G589" i="7"/>
  <c r="Z589" i="7" s="1"/>
  <c r="AA589" i="7" s="1"/>
  <c r="F590" i="7"/>
  <c r="Y590" i="7" s="1"/>
  <c r="G80" i="7"/>
  <c r="Z80" i="7" s="1"/>
  <c r="AA80" i="7" s="1"/>
  <c r="G246" i="7"/>
  <c r="Z246" i="7" s="1"/>
  <c r="AA246" i="7" s="1"/>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Y392" i="7" s="1"/>
  <c r="G402" i="7"/>
  <c r="Z402" i="7" s="1"/>
  <c r="AA402" i="7" s="1"/>
  <c r="F403" i="7"/>
  <c r="Y403" i="7" s="1"/>
  <c r="F413" i="7"/>
  <c r="Y413" i="7" s="1"/>
  <c r="G423" i="7"/>
  <c r="Z423" i="7" s="1"/>
  <c r="AA423" i="7" s="1"/>
  <c r="F424" i="7"/>
  <c r="Y424" i="7" s="1"/>
  <c r="G434" i="7"/>
  <c r="Z434" i="7" s="1"/>
  <c r="AA434" i="7" s="1"/>
  <c r="F435" i="7"/>
  <c r="Y435" i="7" s="1"/>
  <c r="G444" i="7"/>
  <c r="Z444" i="7" s="1"/>
  <c r="AA444" i="7" s="1"/>
  <c r="F445" i="7"/>
  <c r="Y445" i="7" s="1"/>
  <c r="F456" i="7"/>
  <c r="Y456" i="7" s="1"/>
  <c r="G465" i="7"/>
  <c r="Z465" i="7" s="1"/>
  <c r="AA465" i="7" s="1"/>
  <c r="F466" i="7"/>
  <c r="Y466" i="7" s="1"/>
  <c r="F477" i="7"/>
  <c r="Y477" i="7" s="1"/>
  <c r="G487" i="7"/>
  <c r="Z487" i="7" s="1"/>
  <c r="AA487" i="7" s="1"/>
  <c r="F488" i="7"/>
  <c r="Y488" i="7" s="1"/>
  <c r="G498" i="7"/>
  <c r="Z498" i="7" s="1"/>
  <c r="AA498" i="7" s="1"/>
  <c r="F499" i="7"/>
  <c r="Y499" i="7" s="1"/>
  <c r="G510" i="7"/>
  <c r="Z510" i="7" s="1"/>
  <c r="AA510" i="7" s="1"/>
  <c r="F511" i="7"/>
  <c r="Y511" i="7" s="1"/>
  <c r="G521" i="7"/>
  <c r="Z521" i="7" s="1"/>
  <c r="AA521" i="7" s="1"/>
  <c r="F522" i="7"/>
  <c r="Y522" i="7" s="1"/>
  <c r="G533" i="7"/>
  <c r="Z533" i="7" s="1"/>
  <c r="AA533" i="7" s="1"/>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Z109" i="7" s="1"/>
  <c r="AA109" i="7" s="1"/>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Y347" i="7" s="1"/>
  <c r="G358" i="7"/>
  <c r="Z358" i="7" s="1"/>
  <c r="AA358" i="7" s="1"/>
  <c r="F359" i="7"/>
  <c r="Y359" i="7" s="1"/>
  <c r="G370" i="7"/>
  <c r="Z370" i="7" s="1"/>
  <c r="AA370" i="7" s="1"/>
  <c r="F371" i="7"/>
  <c r="Y371" i="7" s="1"/>
  <c r="G381" i="7"/>
  <c r="Z381" i="7" s="1"/>
  <c r="AA381" i="7" s="1"/>
  <c r="F382" i="7"/>
  <c r="Y382" i="7" s="1"/>
  <c r="G392" i="7"/>
  <c r="Z392" i="7" s="1"/>
  <c r="AA392" i="7" s="1"/>
  <c r="F393" i="7"/>
  <c r="Y393" i="7" s="1"/>
  <c r="G403" i="7"/>
  <c r="Z403" i="7" s="1"/>
  <c r="AA403" i="7" s="1"/>
  <c r="F404" i="7"/>
  <c r="Y404" i="7" s="1"/>
  <c r="G413" i="7"/>
  <c r="Z413" i="7" s="1"/>
  <c r="AA413" i="7" s="1"/>
  <c r="F414" i="7"/>
  <c r="Y414" i="7" s="1"/>
  <c r="G424" i="7"/>
  <c r="Z424" i="7" s="1"/>
  <c r="AA424" i="7" s="1"/>
  <c r="F425" i="7"/>
  <c r="Y425" i="7" s="1"/>
  <c r="G435" i="7"/>
  <c r="Z435" i="7" s="1"/>
  <c r="AA435" i="7" s="1"/>
  <c r="F436" i="7"/>
  <c r="Y436" i="7" s="1"/>
  <c r="G445" i="7"/>
  <c r="Z445" i="7" s="1"/>
  <c r="AA445" i="7" s="1"/>
  <c r="F446" i="7"/>
  <c r="Y446" i="7" s="1"/>
  <c r="G456" i="7"/>
  <c r="Z456" i="7" s="1"/>
  <c r="AA456" i="7" s="1"/>
  <c r="G466" i="7"/>
  <c r="Z466" i="7" s="1"/>
  <c r="AA466" i="7" s="1"/>
  <c r="F467" i="7"/>
  <c r="Y467" i="7" s="1"/>
  <c r="G477" i="7"/>
  <c r="Z477" i="7" s="1"/>
  <c r="AA477" i="7" s="1"/>
  <c r="F478" i="7"/>
  <c r="Y478" i="7" s="1"/>
  <c r="G488" i="7"/>
  <c r="Z488" i="7" s="1"/>
  <c r="AA488" i="7" s="1"/>
  <c r="F489" i="7"/>
  <c r="Y489" i="7" s="1"/>
  <c r="G499" i="7"/>
  <c r="Z499" i="7" s="1"/>
  <c r="AA499" i="7" s="1"/>
  <c r="F500" i="7"/>
  <c r="Y500" i="7" s="1"/>
  <c r="G511" i="7"/>
  <c r="Z511" i="7" s="1"/>
  <c r="AA511" i="7" s="1"/>
  <c r="F512" i="7"/>
  <c r="Y512" i="7" s="1"/>
  <c r="G522" i="7"/>
  <c r="Z522" i="7" s="1"/>
  <c r="AA522" i="7" s="1"/>
  <c r="F523" i="7"/>
  <c r="Y523" i="7" s="1"/>
  <c r="G534" i="7"/>
  <c r="Z534" i="7" s="1"/>
  <c r="AA534" i="7" s="1"/>
  <c r="F535" i="7"/>
  <c r="Y535" i="7" s="1"/>
  <c r="G545" i="7"/>
  <c r="Z545" i="7" s="1"/>
  <c r="AA545" i="7" s="1"/>
  <c r="G556" i="7"/>
  <c r="Z556" i="7" s="1"/>
  <c r="AA556" i="7" s="1"/>
  <c r="F557" i="7"/>
  <c r="Y557" i="7" s="1"/>
  <c r="G568" i="7"/>
  <c r="Z568" i="7" s="1"/>
  <c r="AA568" i="7" s="1"/>
  <c r="F569" i="7"/>
  <c r="Y569" i="7" s="1"/>
  <c r="G579" i="7"/>
  <c r="Z579" i="7" s="1"/>
  <c r="AA579" i="7" s="1"/>
  <c r="F580" i="7"/>
  <c r="Y580" i="7" s="1"/>
  <c r="G591" i="7"/>
  <c r="Z591" i="7" s="1"/>
  <c r="AA591" i="7" s="1"/>
  <c r="F592" i="7"/>
  <c r="Y592" i="7" s="1"/>
  <c r="G20" i="7"/>
  <c r="F79" i="7"/>
  <c r="G94" i="7"/>
  <c r="Z94" i="7" s="1"/>
  <c r="AA94" i="7" s="1"/>
  <c r="F130" i="7"/>
  <c r="Y130" i="7" s="1"/>
  <c r="G225" i="7"/>
  <c r="Z225" i="7" s="1"/>
  <c r="AA225" i="7" s="1"/>
  <c r="F226" i="7"/>
  <c r="Y226" i="7" s="1"/>
  <c r="G261" i="7"/>
  <c r="Z261" i="7" s="1"/>
  <c r="AA261" i="7" s="1"/>
  <c r="F262" i="7"/>
  <c r="Y262" i="7" s="1"/>
  <c r="F316" i="7"/>
  <c r="Y316" i="7" s="1"/>
  <c r="G327" i="7"/>
  <c r="Z327" i="7" s="1"/>
  <c r="AA327" i="7" s="1"/>
  <c r="G337" i="7"/>
  <c r="Z337" i="7" s="1"/>
  <c r="AA337" i="7" s="1"/>
  <c r="F338" i="7"/>
  <c r="Y338" i="7" s="1"/>
  <c r="G347" i="7"/>
  <c r="Z347" i="7" s="1"/>
  <c r="AA347" i="7" s="1"/>
  <c r="F348" i="7"/>
  <c r="Y348" i="7" s="1"/>
  <c r="G359" i="7"/>
  <c r="Z359" i="7" s="1"/>
  <c r="AA359" i="7" s="1"/>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Z512" i="7" s="1"/>
  <c r="AA512" i="7" s="1"/>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Y581" i="7" s="1"/>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Y339" i="7" s="1"/>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Y427" i="7" s="1"/>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Y491" i="7" s="1"/>
  <c r="G501" i="7"/>
  <c r="Z501" i="7" s="1"/>
  <c r="AA501" i="7" s="1"/>
  <c r="F502" i="7"/>
  <c r="Y502" i="7" s="1"/>
  <c r="F513" i="7"/>
  <c r="Y513" i="7" s="1"/>
  <c r="G524" i="7"/>
  <c r="Z524" i="7" s="1"/>
  <c r="AA524" i="7" s="1"/>
  <c r="F525" i="7"/>
  <c r="Y525" i="7" s="1"/>
  <c r="G536" i="7"/>
  <c r="Z536" i="7" s="1"/>
  <c r="AA536" i="7" s="1"/>
  <c r="F537" i="7"/>
  <c r="Y537" i="7" s="1"/>
  <c r="G546" i="7"/>
  <c r="Z546" i="7" s="1"/>
  <c r="AA546" i="7" s="1"/>
  <c r="F547" i="7"/>
  <c r="Y547" i="7" s="1"/>
  <c r="G558" i="7"/>
  <c r="Z558" i="7" s="1"/>
  <c r="AA558" i="7" s="1"/>
  <c r="F559" i="7"/>
  <c r="Y559" i="7" s="1"/>
  <c r="G570" i="7"/>
  <c r="Z570" i="7" s="1"/>
  <c r="AA570" i="7" s="1"/>
  <c r="F571" i="7"/>
  <c r="Y571" i="7" s="1"/>
  <c r="G581" i="7"/>
  <c r="Z581" i="7" s="1"/>
  <c r="AA581" i="7" s="1"/>
  <c r="F582" i="7"/>
  <c r="Y582" i="7" s="1"/>
  <c r="G593" i="7"/>
  <c r="Z593" i="7" s="1"/>
  <c r="AA593" i="7" s="1"/>
  <c r="F594" i="7"/>
  <c r="Y594" i="7" s="1"/>
  <c r="G88" i="7"/>
  <c r="Z88" i="7" s="1"/>
  <c r="AA88" i="7" s="1"/>
  <c r="F93" i="7"/>
  <c r="Y93" i="7" s="1"/>
  <c r="F107" i="7"/>
  <c r="Y107" i="7" s="1"/>
  <c r="G144" i="7"/>
  <c r="Z144" i="7" s="1"/>
  <c r="AA144" i="7" s="1"/>
  <c r="F145" i="7"/>
  <c r="Y145" i="7" s="1"/>
  <c r="G221" i="7"/>
  <c r="Z221" i="7" s="1"/>
  <c r="AA221" i="7" s="1"/>
  <c r="F222" i="7"/>
  <c r="Y222" i="7" s="1"/>
  <c r="G312" i="7"/>
  <c r="Z312" i="7" s="1"/>
  <c r="AA312" i="7" s="1"/>
  <c r="F313" i="7"/>
  <c r="Y313" i="7" s="1"/>
  <c r="G317" i="7"/>
  <c r="Z317" i="7" s="1"/>
  <c r="AA317" i="7" s="1"/>
  <c r="F318" i="7"/>
  <c r="Y318" i="7" s="1"/>
  <c r="G328" i="7"/>
  <c r="Z328" i="7" s="1"/>
  <c r="AA328" i="7" s="1"/>
  <c r="F329" i="7"/>
  <c r="Y329" i="7" s="1"/>
  <c r="G339" i="7"/>
  <c r="Z339" i="7" s="1"/>
  <c r="AA339" i="7" s="1"/>
  <c r="F340" i="7"/>
  <c r="Y340" i="7" s="1"/>
  <c r="G349" i="7"/>
  <c r="Z349" i="7" s="1"/>
  <c r="AA349" i="7" s="1"/>
  <c r="F350" i="7"/>
  <c r="Y350" i="7" s="1"/>
  <c r="G361" i="7"/>
  <c r="Z361" i="7" s="1"/>
  <c r="AA361" i="7" s="1"/>
  <c r="F362" i="7"/>
  <c r="Y362" i="7" s="1"/>
  <c r="G373" i="7"/>
  <c r="Z373" i="7" s="1"/>
  <c r="AA373" i="7" s="1"/>
  <c r="F374" i="7"/>
  <c r="Y374" i="7" s="1"/>
  <c r="G384" i="7"/>
  <c r="Z384" i="7" s="1"/>
  <c r="AA384" i="7" s="1"/>
  <c r="F385" i="7"/>
  <c r="Y385" i="7" s="1"/>
  <c r="G395" i="7"/>
  <c r="Z395" i="7" s="1"/>
  <c r="AA395" i="7" s="1"/>
  <c r="F396" i="7"/>
  <c r="Y396" i="7" s="1"/>
  <c r="G405" i="7"/>
  <c r="Z405" i="7" s="1"/>
  <c r="AA405" i="7" s="1"/>
  <c r="F406" i="7"/>
  <c r="Y406" i="7" s="1"/>
  <c r="G416" i="7"/>
  <c r="Z416" i="7" s="1"/>
  <c r="AA416" i="7" s="1"/>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Z525" i="7" s="1"/>
  <c r="AA525" i="7" s="1"/>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Z594" i="7" s="1"/>
  <c r="AA594" i="7" s="1"/>
  <c r="F595" i="7"/>
  <c r="Y595" i="7" s="1"/>
  <c r="F26" i="7"/>
  <c r="Y26" i="7" s="1"/>
  <c r="G39" i="7"/>
  <c r="Z39" i="7" s="1"/>
  <c r="AA39" i="7" s="1"/>
  <c r="G87" i="7"/>
  <c r="Z87" i="7" s="1"/>
  <c r="AA87" i="7" s="1"/>
  <c r="F102" i="7"/>
  <c r="Y102" i="7" s="1"/>
  <c r="G160" i="7"/>
  <c r="Z160" i="7" s="1"/>
  <c r="AA160" i="7" s="1"/>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Z374" i="7" s="1"/>
  <c r="AA374" i="7" s="1"/>
  <c r="F375" i="7"/>
  <c r="Y375" i="7" s="1"/>
  <c r="G385" i="7"/>
  <c r="Z385" i="7" s="1"/>
  <c r="AA385" i="7" s="1"/>
  <c r="F386" i="7"/>
  <c r="Y386" i="7" s="1"/>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Y450" i="7" s="1"/>
  <c r="G459" i="7"/>
  <c r="Z459" i="7" s="1"/>
  <c r="AA459" i="7" s="1"/>
  <c r="F460" i="7"/>
  <c r="Y460" i="7" s="1"/>
  <c r="G470" i="7"/>
  <c r="Z470" i="7" s="1"/>
  <c r="AA470" i="7" s="1"/>
  <c r="F471" i="7"/>
  <c r="Y471" i="7" s="1"/>
  <c r="G481" i="7"/>
  <c r="Z481" i="7" s="1"/>
  <c r="AA481" i="7" s="1"/>
  <c r="G492" i="7"/>
  <c r="Z492" i="7" s="1"/>
  <c r="AA492" i="7" s="1"/>
  <c r="G503" i="7"/>
  <c r="Z503" i="7" s="1"/>
  <c r="AA503" i="7" s="1"/>
  <c r="F504" i="7"/>
  <c r="Y504" i="7" s="1"/>
  <c r="G514" i="7"/>
  <c r="Z514" i="7" s="1"/>
  <c r="AA514" i="7" s="1"/>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Z595" i="7" s="1"/>
  <c r="AA595" i="7" s="1"/>
  <c r="F596" i="7"/>
  <c r="Y596" i="7" s="1"/>
  <c r="G216" i="7"/>
  <c r="Z216" i="7" s="1"/>
  <c r="AA216" i="7" s="1"/>
  <c r="F217" i="7"/>
  <c r="Y217" i="7" s="1"/>
  <c r="F237" i="7"/>
  <c r="Y237" i="7" s="1"/>
  <c r="G255" i="7"/>
  <c r="Z255" i="7" s="1"/>
  <c r="AA255" i="7" s="1"/>
  <c r="F256" i="7"/>
  <c r="Y256" i="7" s="1"/>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Z407" i="7" s="1"/>
  <c r="AA407" i="7" s="1"/>
  <c r="F408" i="7"/>
  <c r="Y408" i="7" s="1"/>
  <c r="G418" i="7"/>
  <c r="Z418" i="7" s="1"/>
  <c r="AA418" i="7" s="1"/>
  <c r="F419" i="7"/>
  <c r="Y419" i="7" s="1"/>
  <c r="F429" i="7"/>
  <c r="Y429" i="7" s="1"/>
  <c r="G439" i="7"/>
  <c r="Z439" i="7" s="1"/>
  <c r="AA439" i="7" s="1"/>
  <c r="F440" i="7"/>
  <c r="Y440" i="7" s="1"/>
  <c r="G450" i="7"/>
  <c r="Z450" i="7" s="1"/>
  <c r="AA450" i="7" s="1"/>
  <c r="F451" i="7"/>
  <c r="Y451" i="7" s="1"/>
  <c r="G460" i="7"/>
  <c r="Z460" i="7" s="1"/>
  <c r="AA460" i="7" s="1"/>
  <c r="F461" i="7"/>
  <c r="Y461" i="7" s="1"/>
  <c r="G471" i="7"/>
  <c r="Z471" i="7" s="1"/>
  <c r="AA471" i="7" s="1"/>
  <c r="F472" i="7"/>
  <c r="Y472" i="7" s="1"/>
  <c r="F482" i="7"/>
  <c r="Y482" i="7" s="1"/>
  <c r="F493" i="7"/>
  <c r="Y493" i="7" s="1"/>
  <c r="G504" i="7"/>
  <c r="Z504" i="7" s="1"/>
  <c r="AA504" i="7" s="1"/>
  <c r="F505" i="7"/>
  <c r="Y505" i="7" s="1"/>
  <c r="G515" i="7"/>
  <c r="Z515" i="7" s="1"/>
  <c r="AA515" i="7" s="1"/>
  <c r="F516" i="7"/>
  <c r="Y516" i="7" s="1"/>
  <c r="G527" i="7"/>
  <c r="Z527" i="7" s="1"/>
  <c r="AA527" i="7" s="1"/>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Y577" i="7" s="1"/>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Y611" i="7" s="1"/>
  <c r="F602" i="7"/>
  <c r="Y602" i="7" s="1"/>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Z528" i="7" s="1"/>
  <c r="AA528" i="7" s="1"/>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Y589" i="7" s="1"/>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Y377" i="7" s="1"/>
  <c r="F606" i="7"/>
  <c r="Y606" i="7" s="1"/>
  <c r="F38" i="7"/>
  <c r="Y38" i="7" s="1"/>
  <c r="G419" i="7"/>
  <c r="Z419" i="7" s="1"/>
  <c r="AA419" i="7" s="1"/>
  <c r="F420" i="7"/>
  <c r="Y420" i="7" s="1"/>
  <c r="G493" i="7"/>
  <c r="Z493" i="7" s="1"/>
  <c r="AA493" i="7" s="1"/>
  <c r="F494" i="7"/>
  <c r="Y494" i="7" s="1"/>
  <c r="G550" i="7"/>
  <c r="Z550" i="7" s="1"/>
  <c r="AA550" i="7" s="1"/>
  <c r="F551" i="7"/>
  <c r="Y551" i="7" s="1"/>
  <c r="G606" i="7"/>
  <c r="Z606" i="7" s="1"/>
  <c r="AA606" i="7" s="1"/>
  <c r="F607" i="7"/>
  <c r="Y607" i="7" s="1"/>
  <c r="G620" i="7"/>
  <c r="Z620" i="7" s="1"/>
  <c r="AA620" i="7" s="1"/>
  <c r="F388" i="7"/>
  <c r="Y388" i="7" s="1"/>
  <c r="G461" i="7"/>
  <c r="Z461" i="7" s="1"/>
  <c r="AA461" i="7" s="1"/>
  <c r="G505" i="7"/>
  <c r="Z505" i="7" s="1"/>
  <c r="AA505" i="7" s="1"/>
  <c r="G562" i="7"/>
  <c r="Z562" i="7" s="1"/>
  <c r="AA562" i="7" s="1"/>
  <c r="G598" i="7"/>
  <c r="Z598" i="7" s="1"/>
  <c r="AA598" i="7" s="1"/>
  <c r="G599" i="7"/>
  <c r="Z599" i="7" s="1"/>
  <c r="AA599" i="7" s="1"/>
  <c r="F609" i="7"/>
  <c r="Y609" i="7" s="1"/>
  <c r="G622" i="7"/>
  <c r="Z622" i="7" s="1"/>
  <c r="AA622" i="7" s="1"/>
  <c r="G331" i="7"/>
  <c r="Z331" i="7" s="1"/>
  <c r="AA331" i="7" s="1"/>
  <c r="F597" i="7"/>
  <c r="Y597" i="7" s="1"/>
  <c r="F598" i="7"/>
  <c r="Y598" i="7" s="1"/>
  <c r="G607" i="7"/>
  <c r="Z607" i="7" s="1"/>
  <c r="AA607" i="7" s="1"/>
  <c r="F608" i="7"/>
  <c r="Y608" i="7" s="1"/>
  <c r="F86" i="7"/>
  <c r="Y86" i="7" s="1"/>
  <c r="G387" i="7"/>
  <c r="Z387" i="7" s="1"/>
  <c r="AA387" i="7" s="1"/>
  <c r="F462" i="7"/>
  <c r="Y462" i="7" s="1"/>
  <c r="F506" i="7"/>
  <c r="Y506" i="7" s="1"/>
  <c r="F563" i="7"/>
  <c r="Y563" i="7" s="1"/>
  <c r="F599" i="7"/>
  <c r="Y599" i="7" s="1"/>
  <c r="F622" i="7"/>
  <c r="Y622" i="7" s="1"/>
  <c r="F600" i="7"/>
  <c r="Y600" i="7" s="1"/>
  <c r="Y17" i="7"/>
  <c r="G78" i="5"/>
  <c r="I78" i="5"/>
  <c r="Y54" i="7"/>
  <c r="Z40" i="7"/>
  <c r="AA40" i="7" s="1"/>
  <c r="Y79" i="7"/>
  <c r="Y110" i="7"/>
  <c r="Z129" i="7"/>
  <c r="AA129" i="7" s="1"/>
  <c r="Z92" i="7"/>
  <c r="AA92" i="7" s="1"/>
  <c r="G71" i="5"/>
  <c r="I71" i="5"/>
  <c r="Z19" i="7"/>
  <c r="AA19" i="7" s="1"/>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J621" i="7" l="1"/>
  <c r="K621" i="7"/>
  <c r="L621" i="7"/>
  <c r="M621" i="7"/>
  <c r="O621" i="7"/>
  <c r="N621" i="7"/>
  <c r="D621" i="7"/>
  <c r="E621" i="7"/>
  <c r="F621" i="7"/>
  <c r="H621" i="7"/>
  <c r="G621" i="7"/>
  <c r="I621" i="7"/>
  <c r="Z621" i="7" l="1"/>
  <c r="AA621" i="7" s="1"/>
  <c r="Y621" i="7"/>
  <c r="E3" i="7"/>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5"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<sst xmlns="http://schemas.openxmlformats.org/spreadsheetml/2006/main" count="332" uniqueCount="244">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</sst>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10" fillId="10" borderId="0" xfId="0" applyFont="1" applyFill="1" applyAlignment="1">
      <alignment vertical="center" wrapText="1"/>
    </xf>
    <xf numFmtId="0" fontId="0" fillId="10" borderId="0" xfId="0" applyFill="1" applyAlignment="1">
      <alignment vertical="center"/>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33" fillId="2" borderId="6" xfId="0" applyFont="1" applyFill="1" applyBorder="1" applyAlignment="1">
      <alignment horizontal="right"/>
    </xf>
    <xf numFmtId="0" fontId="33" fillId="2" borderId="4" xfId="0" applyFont="1" applyFill="1" applyBorder="1" applyAlignment="1">
      <alignment horizontal="righ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38" xfId="0" applyFont="1" applyFill="1" applyBorder="1" applyAlignment="1">
      <alignment horizontal="right"/>
    </xf>
    <xf numFmtId="0" fontId="31" fillId="2" borderId="0" xfId="0" applyFont="1" applyFill="1" applyBorder="1" applyAlignment="1">
      <alignment horizontal="right"/>
    </xf>
    <xf numFmtId="0" fontId="0" fillId="0" borderId="0" xfId="0" applyBorder="1" applyAlignment="1">
      <alignment vertical="center"/>
    </xf>
    <xf numFmtId="0" fontId="31" fillId="2" borderId="6" xfId="0" applyFont="1" applyFill="1" applyBorder="1" applyAlignment="1">
      <alignment horizontal="right"/>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11" fillId="2" borderId="4" xfId="0" applyFont="1" applyFill="1" applyBorder="1" applyAlignment="1">
      <alignment horizontal="left"/>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1" fillId="2" borderId="4" xfId="0" applyFont="1" applyFill="1" applyBorder="1" applyAlignment="1">
      <alignment horizontal="righ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31" fillId="2" borderId="8" xfId="0" applyFont="1" applyFill="1" applyBorder="1" applyAlignment="1">
      <alignment horizontal="right"/>
    </xf>
    <xf numFmtId="0" fontId="31" fillId="2" borderId="5"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0" fillId="0" borderId="0" xfId="0"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2" fillId="0" borderId="42" xfId="2" applyFont="1" applyFill="1" applyBorder="1" applyAlignment="1">
      <alignment horizontal="center"/>
    </xf>
    <xf numFmtId="0" fontId="22" fillId="0" borderId="50" xfId="2" applyFont="1"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10" fillId="0" borderId="29" xfId="2" applyFont="1" applyBorder="1" applyAlignment="1">
      <alignment horizontal="center"/>
    </xf>
    <xf numFmtId="0" fontId="10" fillId="4" borderId="42" xfId="2" applyFont="1" applyFill="1" applyBorder="1" applyAlignment="1"/>
    <xf numFmtId="0" fontId="10" fillId="4" borderId="50" xfId="2" applyFont="1" applyFill="1" applyBorder="1" applyAlignment="1"/>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6" fillId="0" borderId="52" xfId="2" applyFill="1" applyBorder="1" applyAlignment="1">
      <alignment horizontal="center"/>
    </xf>
    <xf numFmtId="0" fontId="6" fillId="0" borderId="50" xfId="2" applyFill="1" applyBorder="1" applyAlignment="1">
      <alignment horizontal="center"/>
    </xf>
    <xf numFmtId="0" fontId="22" fillId="0" borderId="52" xfId="2" applyFont="1" applyFill="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
          <c:y val="2.2727272727272728E-2"/>
        </c:manualLayout>
      </c:layout>
      <c:overlay val="0"/>
      <c:spPr>
        <a:noFill/>
        <a:ln w="25400">
          <a:noFill/>
        </a:ln>
      </c:spPr>
    </c:title>
    <c:autoTitleDeleted val="0"/>
    <c:plotArea>
      <c:layout>
        <c:manualLayout>
          <c:layoutTarget val="inner"/>
          <c:xMode val="edge"/>
          <c:yMode val="edge"/>
          <c:x val="0.13739130434782609"/>
          <c:y val="0.13409090909090909"/>
          <c:w val="0.74260869565217391"/>
          <c:h val="0.64090909090909087"/>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72.160132340229438</c:v>
                </c:pt>
                <c:pt idx="1">
                  <c:v>72.152866169284934</c:v>
                </c:pt>
                <c:pt idx="2">
                  <c:v>72.14414013793791</c:v>
                </c:pt>
                <c:pt idx="3">
                  <c:v>72.133662886544556</c:v>
                </c:pt>
                <c:pt idx="4">
                  <c:v>72.121094814833128</c:v>
                </c:pt>
                <c:pt idx="5">
                  <c:v>72.105997210030708</c:v>
                </c:pt>
                <c:pt idx="6">
                  <c:v>72.087891887221204</c:v>
                </c:pt>
                <c:pt idx="7">
                  <c:v>72.066174476863239</c:v>
                </c:pt>
                <c:pt idx="8">
                  <c:v>72.040156734613021</c:v>
                </c:pt>
                <c:pt idx="9">
                  <c:v>72.008982494841632</c:v>
                </c:pt>
                <c:pt idx="10">
                  <c:v>71.971677871260198</c:v>
                </c:pt>
                <c:pt idx="11">
                  <c:v>71.927070648843284</c:v>
                </c:pt>
                <c:pt idx="12">
                  <c:v>71.873755956061089</c:v>
                </c:pt>
                <c:pt idx="13">
                  <c:v>71.810173169214949</c:v>
                </c:pt>
                <c:pt idx="14">
                  <c:v>71.734394571661099</c:v>
                </c:pt>
                <c:pt idx="15">
                  <c:v>71.644267015951769</c:v>
                </c:pt>
                <c:pt idx="16">
                  <c:v>71.537278690642907</c:v>
                </c:pt>
                <c:pt idx="17">
                  <c:v>71.410589566266808</c:v>
                </c:pt>
                <c:pt idx="18">
                  <c:v>71.260932241407801</c:v>
                </c:pt>
                <c:pt idx="19">
                  <c:v>71.084738777477853</c:v>
                </c:pt>
                <c:pt idx="20">
                  <c:v>70.878001243395047</c:v>
                </c:pt>
                <c:pt idx="21">
                  <c:v>70.636455338962335</c:v>
                </c:pt>
                <c:pt idx="22">
                  <c:v>70.355465715706757</c:v>
                </c:pt>
                <c:pt idx="23">
                  <c:v>70.030333052050494</c:v>
                </c:pt>
                <c:pt idx="24">
                  <c:v>69.656136233773466</c:v>
                </c:pt>
                <c:pt idx="25">
                  <c:v>69.228167811670161</c:v>
                </c:pt>
                <c:pt idx="26">
                  <c:v>68.741806476557173</c:v>
                </c:pt>
                <c:pt idx="27">
                  <c:v>68.193130382352862</c:v>
                </c:pt>
                <c:pt idx="28">
                  <c:v>67.57869188768494</c:v>
                </c:pt>
                <c:pt idx="29">
                  <c:v>66.896302583020301</c:v>
                </c:pt>
                <c:pt idx="30">
                  <c:v>66.143061465943063</c:v>
                </c:pt>
                <c:pt idx="31">
                  <c:v>65.319269140716884</c:v>
                </c:pt>
                <c:pt idx="32">
                  <c:v>64.424756546230498</c:v>
                </c:pt>
                <c:pt idx="33">
                  <c:v>63.461600254916945</c:v>
                </c:pt>
                <c:pt idx="34">
                  <c:v>62.431461288526307</c:v>
                </c:pt>
                <c:pt idx="35">
                  <c:v>61.338147014421345</c:v>
                </c:pt>
                <c:pt idx="36">
                  <c:v>60.185441292436657</c:v>
                </c:pt>
                <c:pt idx="37">
                  <c:v>58.977117893109671</c:v>
                </c:pt>
                <c:pt idx="38">
                  <c:v>57.719073978762367</c:v>
                </c:pt>
                <c:pt idx="39">
                  <c:v>56.415196002372888</c:v>
                </c:pt>
                <c:pt idx="40">
                  <c:v>55.070831899623897</c:v>
                </c:pt>
                <c:pt idx="41">
                  <c:v>53.690598492207002</c:v>
                </c:pt>
                <c:pt idx="42">
                  <c:v>52.279181278957665</c:v>
                </c:pt>
                <c:pt idx="43">
                  <c:v>50.840350027854853</c:v>
                </c:pt>
                <c:pt idx="44">
                  <c:v>49.378330358274276</c:v>
                </c:pt>
                <c:pt idx="45">
                  <c:v>47.896320417166947</c:v>
                </c:pt>
                <c:pt idx="46">
                  <c:v>46.397765042446309</c:v>
                </c:pt>
                <c:pt idx="47">
                  <c:v>44.885160200894568</c:v>
                </c:pt>
                <c:pt idx="48">
                  <c:v>43.361399661976009</c:v>
                </c:pt>
                <c:pt idx="49">
                  <c:v>41.828354546100606</c:v>
                </c:pt>
                <c:pt idx="50">
                  <c:v>40.288298534256704</c:v>
                </c:pt>
                <c:pt idx="51">
                  <c:v>38.742729491254103</c:v>
                </c:pt>
                <c:pt idx="52">
                  <c:v>37.193858880363294</c:v>
                </c:pt>
                <c:pt idx="53">
                  <c:v>35.643250201283465</c:v>
                </c:pt>
                <c:pt idx="54">
                  <c:v>34.093432573768752</c:v>
                </c:pt>
                <c:pt idx="55">
                  <c:v>32.543333036772452</c:v>
                </c:pt>
                <c:pt idx="56">
                  <c:v>30.996685876150799</c:v>
                </c:pt>
                <c:pt idx="57">
                  <c:v>29.454064155724087</c:v>
                </c:pt>
                <c:pt idx="58">
                  <c:v>27.918275099009641</c:v>
                </c:pt>
                <c:pt idx="59">
                  <c:v>26.389959677635826</c:v>
                </c:pt>
                <c:pt idx="60">
                  <c:v>24.871945605024703</c:v>
                </c:pt>
                <c:pt idx="61">
                  <c:v>23.366119197065451</c:v>
                </c:pt>
                <c:pt idx="62">
                  <c:v>21.873966166220875</c:v>
                </c:pt>
                <c:pt idx="63">
                  <c:v>20.399354861701138</c:v>
                </c:pt>
                <c:pt idx="64">
                  <c:v>18.943680511203972</c:v>
                </c:pt>
                <c:pt idx="65">
                  <c:v>17.510188412230878</c:v>
                </c:pt>
                <c:pt idx="66">
                  <c:v>16.101482171246094</c:v>
                </c:pt>
                <c:pt idx="67">
                  <c:v>14.720441510001805</c:v>
                </c:pt>
                <c:pt idx="68">
                  <c:v>13.369217521243357</c:v>
                </c:pt>
                <c:pt idx="69">
                  <c:v>12.050484059831295</c:v>
                </c:pt>
                <c:pt idx="70">
                  <c:v>10.765931982338838</c:v>
                </c:pt>
                <c:pt idx="71">
                  <c:v>9.5173188180331536</c:v>
                </c:pt>
                <c:pt idx="72">
                  <c:v>8.3053330259226268</c:v>
                </c:pt>
                <c:pt idx="73">
                  <c:v>7.1306346393461526</c:v>
                </c:pt>
                <c:pt idx="74">
                  <c:v>5.9926788684365704</c:v>
                </c:pt>
                <c:pt idx="75">
                  <c:v>4.8908229349210428</c:v>
                </c:pt>
                <c:pt idx="76">
                  <c:v>3.8234819231159554</c:v>
                </c:pt>
                <c:pt idx="77">
                  <c:v>2.7892452913210524</c:v>
                </c:pt>
                <c:pt idx="78">
                  <c:v>1.7860057356012691</c:v>
                </c:pt>
                <c:pt idx="79">
                  <c:v>0.81211413953173561</c:v>
                </c:pt>
                <c:pt idx="80">
                  <c:v>-0.13636772853650925</c:v>
                </c:pt>
                <c:pt idx="81">
                  <c:v>-1.060355404869858</c:v>
                </c:pt>
                <c:pt idx="82">
                  <c:v>-1.9626186868209321</c:v>
                </c:pt>
                <c:pt idx="83">
                  <c:v>-2.8444619378401677</c:v>
                </c:pt>
                <c:pt idx="84">
                  <c:v>-3.7082669057031707</c:v>
                </c:pt>
                <c:pt idx="85">
                  <c:v>-4.5549670280754864</c:v>
                </c:pt>
                <c:pt idx="86">
                  <c:v>-5.3858295883307576</c:v>
                </c:pt>
                <c:pt idx="87">
                  <c:v>-6.2021270943763529</c:v>
                </c:pt>
                <c:pt idx="88">
                  <c:v>-7.0036272477127461</c:v>
                </c:pt>
                <c:pt idx="89">
                  <c:v>-7.7912518419462877</c:v>
                </c:pt>
                <c:pt idx="90">
                  <c:v>-8.5647248776746014</c:v>
                </c:pt>
                <c:pt idx="91">
                  <c:v>-9.323934182722132</c:v>
                </c:pt>
                <c:pt idx="92">
                  <c:v>-10.068441387901142</c:v>
                </c:pt>
                <c:pt idx="93">
                  <c:v>-10.798036119286845</c:v>
                </c:pt>
                <c:pt idx="94">
                  <c:v>-10.977959557575808</c:v>
                </c:pt>
                <c:pt idx="95">
                  <c:v>-11.068110645696896</c:v>
                </c:pt>
                <c:pt idx="96">
                  <c:v>-11.156986817799892</c:v>
                </c:pt>
                <c:pt idx="97">
                  <c:v>-11.246635870402956</c:v>
                </c:pt>
                <c:pt idx="98">
                  <c:v>-11.335014461572241</c:v>
                </c:pt>
                <c:pt idx="99">
                  <c:v>-11.424181131809865</c:v>
                </c:pt>
                <c:pt idx="100">
                  <c:v>-11.512081331039157</c:v>
                </c:pt>
                <c:pt idx="101">
                  <c:v>-11.600716359823597</c:v>
                </c:pt>
                <c:pt idx="102">
                  <c:v>-11.688090419499325</c:v>
                </c:pt>
                <c:pt idx="103">
                  <c:v>-11.776276701052421</c:v>
                </c:pt>
                <c:pt idx="104">
                  <c:v>-11.863205323132476</c:v>
                </c:pt>
                <c:pt idx="105">
                  <c:v>-11.950891636836541</c:v>
                </c:pt>
                <c:pt idx="106">
                  <c:v>-12.037325230677192</c:v>
                </c:pt>
                <c:pt idx="107">
                  <c:v>-12.12446513318482</c:v>
                </c:pt>
                <c:pt idx="108">
                  <c:v>-12.210358796442438</c:v>
                </c:pt>
                <c:pt idx="109">
                  <c:v>-12.296968976668865</c:v>
                </c:pt>
                <c:pt idx="110">
                  <c:v>-12.382339185066058</c:v>
                </c:pt>
                <c:pt idx="111">
                  <c:v>-12.468490966518058</c:v>
                </c:pt>
                <c:pt idx="112">
                  <c:v>-12.553407304646553</c:v>
                </c:pt>
                <c:pt idx="113">
                  <c:v>-12.639053095431439</c:v>
                </c:pt>
                <c:pt idx="114">
                  <c:v>-12.72346965054737</c:v>
                </c:pt>
                <c:pt idx="115">
                  <c:v>-12.808620431964714</c:v>
                </c:pt>
                <c:pt idx="116">
                  <c:v>-12.892548237076323</c:v>
                </c:pt>
                <c:pt idx="117">
                  <c:v>-12.977213582989066</c:v>
                </c:pt>
                <c:pt idx="118">
                  <c:v>-13.060662340108838</c:v>
                </c:pt>
                <c:pt idx="119">
                  <c:v>-13.144800012592626</c:v>
                </c:pt>
                <c:pt idx="120">
                  <c:v>-13.227729129295165</c:v>
                </c:pt>
                <c:pt idx="121">
                  <c:v>-13.311350954111635</c:v>
                </c:pt>
                <c:pt idx="122">
                  <c:v>-13.393772397042964</c:v>
                </c:pt>
                <c:pt idx="123">
                  <c:v>-13.476937054882468</c:v>
                </c:pt>
                <c:pt idx="124">
                  <c:v>-13.558908344556887</c:v>
                </c:pt>
                <c:pt idx="125">
                  <c:v>-13.641575445750217</c:v>
                </c:pt>
                <c:pt idx="126">
                  <c:v>-13.723057891468653</c:v>
                </c:pt>
                <c:pt idx="127">
                  <c:v>-13.805237160023811</c:v>
                </c:pt>
                <c:pt idx="128">
                  <c:v>-13.886240791788955</c:v>
                </c:pt>
                <c:pt idx="129">
                  <c:v>-13.967941600180641</c:v>
                </c:pt>
                <c:pt idx="130">
                  <c:v>-14.048476139257168</c:v>
                </c:pt>
                <c:pt idx="131">
                  <c:v>-14.129707680404236</c:v>
                </c:pt>
                <c:pt idx="132">
                  <c:v>-14.169887793654159</c:v>
                </c:pt>
                <c:pt idx="133">
                  <c:v>-14.209782704727012</c:v>
                </c:pt>
                <c:pt idx="134">
                  <c:v>-14.250334548844428</c:v>
                </c:pt>
                <c:pt idx="135">
                  <c:v>-14.290595549438072</c:v>
                </c:pt>
                <c:pt idx="136">
                  <c:v>-14.330569687945134</c:v>
                </c:pt>
                <c:pt idx="137">
                  <c:v>-14.370260876744654</c:v>
                </c:pt>
                <c:pt idx="138">
                  <c:v>-14.410564554838512</c:v>
                </c:pt>
                <c:pt idx="139">
                  <c:v>-14.450580351579234</c:v>
                </c:pt>
                <c:pt idx="140">
                  <c:v>-14.490312237383025</c:v>
                </c:pt>
                <c:pt idx="141">
                  <c:v>-14.529764113445882</c:v>
                </c:pt>
                <c:pt idx="142">
                  <c:v>-14.569865481870783</c:v>
                </c:pt>
                <c:pt idx="143">
                  <c:v>-14.609681461037816</c:v>
                </c:pt>
                <c:pt idx="144">
                  <c:v>-14.649216020500502</c:v>
                </c:pt>
                <c:pt idx="145">
                  <c:v>-14.688473060141948</c:v>
                </c:pt>
                <c:pt idx="146">
                  <c:v>-14.728356213633599</c:v>
                </c:pt>
                <c:pt idx="147">
                  <c:v>-14.767956884330122</c:v>
                </c:pt>
                <c:pt idx="148">
                  <c:v>-14.807279032636476</c:v>
                </c:pt>
                <c:pt idx="149">
                  <c:v>-14.846326548976457</c:v>
                </c:pt>
                <c:pt idx="150">
                  <c:v>-14.885996653481111</c:v>
                </c:pt>
                <c:pt idx="151">
                  <c:v>-14.925387300554293</c:v>
                </c:pt>
                <c:pt idx="152">
                  <c:v>-14.964502439002228</c:v>
                </c:pt>
                <c:pt idx="153">
                  <c:v>-15.003345947344384</c:v>
                </c:pt>
                <c:pt idx="154">
                  <c:v>-15.0428265299307</c:v>
                </c:pt>
                <c:pt idx="155">
                  <c:v>-15.082030546381912</c:v>
                </c:pt>
                <c:pt idx="156">
                  <c:v>-15.12096193659572</c:v>
                </c:pt>
                <c:pt idx="157">
                  <c:v>-15.159624569761148</c:v>
                </c:pt>
                <c:pt idx="158">
                  <c:v>-15.198919868952661</c:v>
                </c:pt>
                <c:pt idx="159">
                  <c:v>-15.237941634048397</c:v>
                </c:pt>
                <c:pt idx="160">
                  <c:v>-15.27669379270651</c:v>
                </c:pt>
                <c:pt idx="161">
                  <c:v>-15.315180201481509</c:v>
                </c:pt>
                <c:pt idx="162">
                  <c:v>-15.354277761633083</c:v>
                </c:pt>
                <c:pt idx="163">
                  <c:v>-15.393105191602142</c:v>
                </c:pt>
                <c:pt idx="164">
                  <c:v>-15.431666398180859</c:v>
                </c:pt>
                <c:pt idx="165">
                  <c:v>-15.469965216820976</c:v>
                </c:pt>
                <c:pt idx="166">
                  <c:v>-15.508904838204863</c:v>
                </c:pt>
                <c:pt idx="167">
                  <c:v>-15.547577385327106</c:v>
                </c:pt>
                <c:pt idx="168">
                  <c:v>-15.585986750761013</c:v>
                </c:pt>
                <c:pt idx="169">
                  <c:v>-15.624136755293181</c:v>
                </c:pt>
                <c:pt idx="170">
                  <c:v>-15.66284155975981</c:v>
                </c:pt>
                <c:pt idx="171">
                  <c:v>-15.701283588723911</c:v>
                </c:pt>
                <c:pt idx="172">
                  <c:v>-15.739466692225221</c:v>
                </c:pt>
                <c:pt idx="173">
                  <c:v>-15.777394648723075</c:v>
                </c:pt>
                <c:pt idx="174">
                  <c:v>-15.816017777435064</c:v>
                </c:pt>
                <c:pt idx="175">
                  <c:v>-15.854380551183276</c:v>
                </c:pt>
                <c:pt idx="176">
                  <c:v>-15.892486817234994</c:v>
                </c:pt>
                <c:pt idx="177">
                  <c:v>-15.93034035045714</c:v>
                </c:pt>
                <c:pt idx="178">
                  <c:v>-15.968866449748628</c:v>
                </c:pt>
                <c:pt idx="179">
                  <c:v>-16.007135030715091</c:v>
                </c:pt>
                <c:pt idx="180">
                  <c:v>-16.045149927357343</c:v>
                </c:pt>
                <c:pt idx="181">
                  <c:v>-16.082914900667681</c:v>
                </c:pt>
                <c:pt idx="182">
                  <c:v>-16.121181528418823</c:v>
                </c:pt>
                <c:pt idx="183">
                  <c:v>-16.159195814921951</c:v>
                </c:pt>
                <c:pt idx="184">
                  <c:v>-16.19696152684417</c:v>
                </c:pt>
                <c:pt idx="185">
                  <c:v>-16.234482358574532</c:v>
                </c:pt>
                <c:pt idx="186">
                  <c:v>-16.272781926479251</c:v>
                </c:pt>
                <c:pt idx="187">
                  <c:v>-16.310830664713759</c:v>
                </c:pt>
                <c:pt idx="188">
                  <c:v>-16.348632352380186</c:v>
                </c:pt>
                <c:pt idx="189">
                  <c:v>-16.386190694961037</c:v>
                </c:pt>
                <c:pt idx="190">
                  <c:v>-16.424219206031893</c:v>
                </c:pt>
                <c:pt idx="191">
                  <c:v>-16.462002539037837</c:v>
                </c:pt>
                <c:pt idx="192">
                  <c:v>-16.499544390136641</c:v>
                </c:pt>
                <c:pt idx="193">
                  <c:v>-16.536848382963672</c:v>
                </c:pt>
                <c:pt idx="194">
                  <c:v>-16.574886814573798</c:v>
                </c:pt>
                <c:pt idx="195">
                  <c:v>-16.612682257283147</c:v>
                </c:pt>
                <c:pt idx="196">
                  <c:v>-16.650238399660552</c:v>
                </c:pt>
                <c:pt idx="197">
                  <c:v>-16.687558856865301</c:v>
                </c:pt>
                <c:pt idx="198">
                  <c:v>-16.725456754167933</c:v>
                </c:pt>
                <c:pt idx="199">
                  <c:v>-16.763115937030399</c:v>
                </c:pt>
                <c:pt idx="200">
                  <c:v>-16.800540036437827</c:v>
                </c:pt>
                <c:pt idx="201">
                  <c:v>-16.837732610378499</c:v>
                </c:pt>
                <c:pt idx="202">
                  <c:v>-16.875486772386552</c:v>
                </c:pt>
                <c:pt idx="203">
                  <c:v>-16.913006658105793</c:v>
                </c:pt>
                <c:pt idx="204">
                  <c:v>-16.950295834008518</c:v>
                </c:pt>
                <c:pt idx="205">
                  <c:v>-16.987357794170251</c:v>
                </c:pt>
                <c:pt idx="206">
                  <c:v>-17.025094818185664</c:v>
                </c:pt>
                <c:pt idx="207">
                  <c:v>-17.062600566300844</c:v>
                </c:pt>
                <c:pt idx="208">
                  <c:v>-17.099878569911255</c:v>
                </c:pt>
                <c:pt idx="209">
                  <c:v>-17.136932287820478</c:v>
                </c:pt>
                <c:pt idx="210">
                  <c:v>-17.174767715804695</c:v>
                </c:pt>
                <c:pt idx="211">
                  <c:v>-17.212373615283067</c:v>
                </c:pt>
                <c:pt idx="212">
                  <c:v>-17.249753507950388</c:v>
                </c:pt>
                <c:pt idx="213">
                  <c:v>-17.286910842002602</c:v>
                </c:pt>
                <c:pt idx="214">
                  <c:v>-17.324583097214685</c:v>
                </c:pt>
                <c:pt idx="215">
                  <c:v>-17.362030852100794</c:v>
                </c:pt>
                <c:pt idx="216">
                  <c:v>-17.399257540012002</c:v>
                </c:pt>
                <c:pt idx="217">
                  <c:v>-17.436266522078117</c:v>
                </c:pt>
                <c:pt idx="218">
                  <c:v>-17.473897578250359</c:v>
                </c:pt>
                <c:pt idx="219">
                  <c:v>-17.511307776019223</c:v>
                </c:pt>
                <c:pt idx="220">
                  <c:v>-17.548500488357149</c:v>
                </c:pt>
                <c:pt idx="221">
                  <c:v>-17.585479016540891</c:v>
                </c:pt>
                <c:pt idx="222">
                  <c:v>-17.623063871826744</c:v>
                </c:pt>
                <c:pt idx="223">
                  <c:v>-17.660431642166529</c:v>
                </c:pt>
                <c:pt idx="224">
                  <c:v>-17.69758563336601</c:v>
                </c:pt>
                <c:pt idx="225">
                  <c:v>-17.734529080280744</c:v>
                </c:pt>
                <c:pt idx="226">
                  <c:v>-17.772178067481597</c:v>
                </c:pt>
                <c:pt idx="227">
                  <c:v>-17.809612544995197</c:v>
                </c:pt>
                <c:pt idx="228">
                  <c:v>-17.846835774858384</c:v>
                </c:pt>
                <c:pt idx="229">
                  <c:v>-17.883850948263497</c:v>
                </c:pt>
                <c:pt idx="230">
                  <c:v>-17.959044797155261</c:v>
                </c:pt>
                <c:pt idx="231">
                  <c:v>-17.996327321404227</c:v>
                </c:pt>
                <c:pt idx="232">
                  <c:v>-18.033404454892707</c:v>
                </c:pt>
                <c:pt idx="233">
                  <c:v>-18.071152201149356</c:v>
                </c:pt>
                <c:pt idx="234">
                  <c:v>-18.108691129317311</c:v>
                </c:pt>
                <c:pt idx="235">
                  <c:v>-18.146024389675063</c:v>
                </c:pt>
                <c:pt idx="236">
                  <c:v>-18.183155062662962</c:v>
                </c:pt>
                <c:pt idx="237">
                  <c:v>-18.220833442185096</c:v>
                </c:pt>
                <c:pt idx="238">
                  <c:v>-18.25830719398607</c:v>
                </c:pt>
                <c:pt idx="239">
                  <c:v>-18.295579376412519</c:v>
                </c:pt>
                <c:pt idx="240">
                  <c:v>-18.332652979612529</c:v>
                </c:pt>
                <c:pt idx="241">
                  <c:v>-18.370471289581356</c:v>
                </c:pt>
                <c:pt idx="242">
                  <c:v>-18.408086893782063</c:v>
                </c:pt>
                <c:pt idx="243">
                  <c:v>-18.445502805552522</c:v>
                </c:pt>
                <c:pt idx="244">
                  <c:v>-18.482721970338119</c:v>
                </c:pt>
                <c:pt idx="245">
                  <c:v>-18.520565598556484</c:v>
                </c:pt>
                <c:pt idx="246">
                  <c:v>-18.558209676715812</c:v>
                </c:pt>
                <c:pt idx="247">
                  <c:v>-18.595657141927965</c:v>
                </c:pt>
                <c:pt idx="248">
                  <c:v>-18.632910864710215</c:v>
                </c:pt>
                <c:pt idx="249">
                  <c:v>-18.670875259100519</c:v>
                </c:pt>
                <c:pt idx="250">
                  <c:v>-18.708642236285439</c:v>
                </c:pt>
                <c:pt idx="251">
                  <c:v>-18.746214676024284</c:v>
                </c:pt>
                <c:pt idx="252">
                  <c:v>-18.783595392278215</c:v>
                </c:pt>
                <c:pt idx="253">
                  <c:v>-18.821572239443331</c:v>
                </c:pt>
                <c:pt idx="254">
                  <c:v>-18.859354890519946</c:v>
                </c:pt>
                <c:pt idx="255">
                  <c:v>-18.89694614082449</c:v>
                </c:pt>
                <c:pt idx="256">
                  <c:v>-18.934348721566781</c:v>
                </c:pt>
                <c:pt idx="257">
                  <c:v>-18.972527013480402</c:v>
                </c:pt>
                <c:pt idx="258">
                  <c:v>-19.010512357575401</c:v>
                </c:pt>
                <c:pt idx="259">
                  <c:v>-19.048307503864663</c:v>
                </c:pt>
                <c:pt idx="260">
                  <c:v>-19.085915138827886</c:v>
                </c:pt>
                <c:pt idx="261">
                  <c:v>-19.124186275649137</c:v>
                </c:pt>
                <c:pt idx="262">
                  <c:v>-19.162266768946829</c:v>
                </c:pt>
                <c:pt idx="263">
                  <c:v>-19.200159297618356</c:v>
                </c:pt>
                <c:pt idx="264">
                  <c:v>-19.237866478469325</c:v>
                </c:pt>
                <c:pt idx="265">
                  <c:v>-19.276222686352909</c:v>
                </c:pt>
                <c:pt idx="266">
                  <c:v>-19.31439055565129</c:v>
                </c:pt>
                <c:pt idx="267">
                  <c:v>-19.352372691462108</c:v>
                </c:pt>
                <c:pt idx="268">
                  <c:v>-19.390171638400012</c:v>
                </c:pt>
                <c:pt idx="269">
                  <c:v>-19.428696320804761</c:v>
                </c:pt>
                <c:pt idx="270">
                  <c:v>-19.467034073170883</c:v>
                </c:pt>
                <c:pt idx="271">
                  <c:v>-19.505187442749303</c:v>
                </c:pt>
                <c:pt idx="272">
                  <c:v>-19.543158917510087</c:v>
                </c:pt>
                <c:pt idx="273">
                  <c:v>-19.581840102039504</c:v>
                </c:pt>
                <c:pt idx="274">
                  <c:v>-19.620335802526402</c:v>
                </c:pt>
                <c:pt idx="275">
                  <c:v>-19.658648505101915</c:v>
                </c:pt>
                <c:pt idx="276">
                  <c:v>-19.696780638005805</c:v>
                </c:pt>
                <c:pt idx="277">
                  <c:v>-19.735519767062549</c:v>
                </c:pt>
                <c:pt idx="278">
                  <c:v>-19.774075694983104</c:v>
                </c:pt>
                <c:pt idx="279">
                  <c:v>-19.812450828269188</c:v>
                </c:pt>
                <c:pt idx="280">
                  <c:v>-19.850647517580125</c:v>
                </c:pt>
                <c:pt idx="281">
                  <c:v>-19.889695532009508</c:v>
                </c:pt>
                <c:pt idx="282">
                  <c:v>-19.928560156809368</c:v>
                </c:pt>
                <c:pt idx="283">
                  <c:v>-19.967243765532288</c:v>
                </c:pt>
                <c:pt idx="284">
                  <c:v>-20.005748676584552</c:v>
                </c:pt>
                <c:pt idx="285">
                  <c:v>-20.044833536237757</c:v>
                </c:pt>
                <c:pt idx="286">
                  <c:v>-20.083737260499504</c:v>
                </c:pt>
                <c:pt idx="287">
                  <c:v>-20.122462141237939</c:v>
                </c:pt>
                <c:pt idx="288">
                  <c:v>-20.161010417458677</c:v>
                </c:pt>
                <c:pt idx="289">
                  <c:v>-20.200374409815623</c:v>
                </c:pt>
                <c:pt idx="290">
                  <c:v>-20.239557154398877</c:v>
                </c:pt>
                <c:pt idx="291">
                  <c:v>-20.278560905230101</c:v>
                </c:pt>
                <c:pt idx="292">
                  <c:v>-20.31738786449192</c:v>
                </c:pt>
                <c:pt idx="293">
                  <c:v>-20.356931362292098</c:v>
                </c:pt>
                <c:pt idx="294">
                  <c:v>-20.396294307125061</c:v>
                </c:pt>
                <c:pt idx="295">
                  <c:v>-20.435478898924767</c:v>
                </c:pt>
                <c:pt idx="296">
                  <c:v>-20.474487287390637</c:v>
                </c:pt>
                <c:pt idx="297">
                  <c:v>-20.5141967393945</c:v>
                </c:pt>
                <c:pt idx="298">
                  <c:v>-20.553726330568637</c:v>
                </c:pt>
                <c:pt idx="299">
                  <c:v>-20.593078206364478</c:v>
                </c:pt>
                <c:pt idx="300">
                  <c:v>-20.632254463693876</c:v>
                </c:pt>
                <c:pt idx="301">
                  <c:v>-20.672116713648883</c:v>
                </c:pt>
                <c:pt idx="302">
                  <c:v>-20.711799781900062</c:v>
                </c:pt>
                <c:pt idx="303">
                  <c:v>-20.751305759646321</c:v>
                </c:pt>
                <c:pt idx="304">
                  <c:v>-20.790636691307029</c:v>
                </c:pt>
                <c:pt idx="305">
                  <c:v>-20.830792430204554</c:v>
                </c:pt>
                <c:pt idx="306">
                  <c:v>-20.870768277850857</c:v>
                </c:pt>
                <c:pt idx="307">
                  <c:v>-20.910566295302971</c:v>
                </c:pt>
                <c:pt idx="308">
                  <c:v>-20.950188497954766</c:v>
                </c:pt>
                <c:pt idx="309">
                  <c:v>-20.990466287967202</c:v>
                </c:pt>
                <c:pt idx="310">
                  <c:v>-21.030564882473644</c:v>
                </c:pt>
                <c:pt idx="311">
                  <c:v>-21.070486288551741</c:v>
                </c:pt>
                <c:pt idx="312">
                  <c:v>-21.110232469498907</c:v>
                </c:pt>
                <c:pt idx="313">
                  <c:v>-21.150768389210835</c:v>
                </c:pt>
                <c:pt idx="314">
                  <c:v>-21.191124467658341</c:v>
                </c:pt>
                <c:pt idx="315">
                  <c:v>-21.231302681105305</c:v>
                </c:pt>
                <c:pt idx="316">
                  <c:v>-21.271304963303837</c:v>
                </c:pt>
                <c:pt idx="317">
                  <c:v>-21.31207939241207</c:v>
                </c:pt>
                <c:pt idx="318">
                  <c:v>-21.352673384076407</c:v>
                </c:pt>
                <c:pt idx="319">
                  <c:v>-21.393088883434338</c:v>
                </c:pt>
                <c:pt idx="320">
                  <c:v>-21.433327794447404</c:v>
                </c:pt>
                <c:pt idx="321">
                  <c:v>-21.474321642244156</c:v>
                </c:pt>
                <c:pt idx="322">
                  <c:v>-21.515134499645477</c:v>
                </c:pt>
                <c:pt idx="323">
                  <c:v>-21.55576828083424</c:v>
                </c:pt>
                <c:pt idx="324">
                  <c:v>-21.596224860197445</c:v>
                </c:pt>
                <c:pt idx="325">
                  <c:v>-21.637419531754425</c:v>
                </c:pt>
                <c:pt idx="326">
                  <c:v>-21.678432698821858</c:v>
                </c:pt>
                <c:pt idx="327">
                  <c:v>-21.719266245206747</c:v>
                </c:pt>
                <c:pt idx="328">
                  <c:v>-21.759922016323202</c:v>
                </c:pt>
                <c:pt idx="329">
                  <c:v>-21.801368426563158</c:v>
                </c:pt>
                <c:pt idx="330">
                  <c:v>-21.842632248432899</c:v>
                </c:pt>
                <c:pt idx="331">
                  <c:v>-21.883715345497663</c:v>
                </c:pt>
                <c:pt idx="332">
                  <c:v>-21.924619544092501</c:v>
                </c:pt>
                <c:pt idx="333">
                  <c:v>-21.966228577503287</c:v>
                </c:pt>
                <c:pt idx="334">
                  <c:v>-22.007654603282475</c:v>
                </c:pt>
                <c:pt idx="335">
                  <c:v>-22.048899456128915</c:v>
                </c:pt>
                <c:pt idx="336">
                  <c:v>-22.089964934926535</c:v>
                </c:pt>
                <c:pt idx="337">
                  <c:v>-22.131852742275168</c:v>
                </c:pt>
                <c:pt idx="338">
                  <c:v>-22.173555986965315</c:v>
                </c:pt>
                <c:pt idx="339">
                  <c:v>-22.215076493475973</c:v>
                </c:pt>
                <c:pt idx="340">
                  <c:v>-22.256416051421301</c:v>
                </c:pt>
                <c:pt idx="341">
                  <c:v>-22.298558933905571</c:v>
                </c:pt>
                <c:pt idx="342">
                  <c:v>-22.340515796356822</c:v>
                </c:pt>
                <c:pt idx="343">
                  <c:v>-22.382288453064902</c:v>
                </c:pt>
                <c:pt idx="344">
                  <c:v>-22.423878684423745</c:v>
                </c:pt>
                <c:pt idx="345">
                  <c:v>-22.466189249989181</c:v>
                </c:pt>
                <c:pt idx="346">
                  <c:v>-22.508313001597703</c:v>
                </c:pt>
                <c:pt idx="347">
                  <c:v>-22.550251735466933</c:v>
                </c:pt>
                <c:pt idx="348">
                  <c:v>-22.592007215087214</c:v>
                </c:pt>
                <c:pt idx="349">
                  <c:v>-22.634592917861717</c:v>
                </c:pt>
                <c:pt idx="350">
                  <c:v>-22.676989963267758</c:v>
                </c:pt>
                <c:pt idx="351">
                  <c:v>-22.719200146390332</c:v>
                </c:pt>
                <c:pt idx="352">
                  <c:v>-22.761225230344667</c:v>
                </c:pt>
                <c:pt idx="353">
                  <c:v>-22.804060957699932</c:v>
                </c:pt>
                <c:pt idx="354">
                  <c:v>-22.846706308172593</c:v>
                </c:pt>
                <c:pt idx="355">
                  <c:v>-22.88916307566868</c:v>
                </c:pt>
                <c:pt idx="356">
                  <c:v>-22.931433022883532</c:v>
                </c:pt>
                <c:pt idx="357">
                  <c:v>-22.974433381177167</c:v>
                </c:pt>
                <c:pt idx="358">
                  <c:v>-23.017242309212982</c:v>
                </c:pt>
                <c:pt idx="359">
                  <c:v>-23.059861592238278</c:v>
                </c:pt>
                <c:pt idx="360">
                  <c:v>-23.102292985208294</c:v>
                </c:pt>
                <c:pt idx="361">
                  <c:v>-23.145557499880638</c:v>
                </c:pt>
                <c:pt idx="362">
                  <c:v>-23.188628559983574</c:v>
                </c:pt>
                <c:pt idx="363">
                  <c:v>-23.231507957566567</c:v>
                </c:pt>
                <c:pt idx="364">
                  <c:v>-23.274197454939788</c:v>
                </c:pt>
                <c:pt idx="365">
                  <c:v>-23.317641135414235</c:v>
                </c:pt>
                <c:pt idx="366">
                  <c:v>-23.360890014247726</c:v>
                </c:pt>
                <c:pt idx="367">
                  <c:v>-23.403945882758425</c:v>
                </c:pt>
                <c:pt idx="368">
                  <c:v>-23.446810503224583</c:v>
                </c:pt>
                <c:pt idx="369">
                  <c:v>-23.490526934718964</c:v>
                </c:pt>
                <c:pt idx="370">
                  <c:v>-23.534046303486633</c:v>
                </c:pt>
                <c:pt idx="371">
                  <c:v>-23.577370414534631</c:v>
                </c:pt>
                <c:pt idx="372">
                  <c:v>-23.62050104419593</c:v>
                </c:pt>
                <c:pt idx="373">
                  <c:v>-23.664405862499205</c:v>
                </c:pt>
                <c:pt idx="374">
                  <c:v>-23.708112044464933</c:v>
                </c:pt>
                <c:pt idx="375">
                  <c:v>-23.751621401150622</c:v>
                </c:pt>
                <c:pt idx="376">
                  <c:v>-23.79493571544208</c:v>
                </c:pt>
                <c:pt idx="377">
                  <c:v>-23.839116962551209</c:v>
                </c:pt>
                <c:pt idx="378">
                  <c:v>-23.883097138083297</c:v>
                </c:pt>
                <c:pt idx="379">
                  <c:v>-23.926878072663694</c:v>
                </c:pt>
                <c:pt idx="380">
                  <c:v>-23.97046156894152</c:v>
                </c:pt>
                <c:pt idx="381">
                  <c:v>-24.014780926997123</c:v>
                </c:pt>
                <c:pt idx="382">
                  <c:v>-24.058897974329909</c:v>
                </c:pt>
                <c:pt idx="383">
                  <c:v>-24.102814546560587</c:v>
                </c:pt>
                <c:pt idx="384">
                  <c:v>-24.146532451793583</c:v>
                </c:pt>
                <c:pt idx="385">
                  <c:v>-24.19112957404672</c:v>
                </c:pt>
                <c:pt idx="386">
                  <c:v>-24.235521819118585</c:v>
                </c:pt>
                <c:pt idx="387">
                  <c:v>-24.279711047331055</c:v>
                </c:pt>
                <c:pt idx="388">
                  <c:v>-24.323699091523586</c:v>
                </c:pt>
                <c:pt idx="389">
                  <c:v>-24.368491456330332</c:v>
                </c:pt>
                <c:pt idx="390">
                  <c:v>-24.413077081560385</c:v>
                </c:pt>
                <c:pt idx="391">
                  <c:v>-24.457457844259256</c:v>
                </c:pt>
                <c:pt idx="392">
                  <c:v>-24.501635594149548</c:v>
                </c:pt>
                <c:pt idx="393">
                  <c:v>-24.546597511508175</c:v>
                </c:pt>
                <c:pt idx="394">
                  <c:v>-24.591351021105872</c:v>
                </c:pt>
                <c:pt idx="395">
                  <c:v>-24.635898015603708</c:v>
                </c:pt>
                <c:pt idx="396">
                  <c:v>-24.680240360484845</c:v>
                </c:pt>
                <c:pt idx="397">
                  <c:v>-24.725448983933468</c:v>
                </c:pt>
                <c:pt idx="398">
                  <c:v>-24.770446777499146</c:v>
                </c:pt>
                <c:pt idx="399">
                  <c:v>-24.815235661172071</c:v>
                </c:pt>
                <c:pt idx="400">
                  <c:v>-24.859817527651707</c:v>
                </c:pt>
                <c:pt idx="401">
                  <c:v>-24.905193621299087</c:v>
                </c:pt>
                <c:pt idx="402">
                  <c:v>-24.950357164274187</c:v>
                </c:pt>
                <c:pt idx="403">
                  <c:v>-24.995310095728314</c:v>
                </c:pt>
                <c:pt idx="404">
                  <c:v>-25.040054327529823</c:v>
                </c:pt>
                <c:pt idx="405">
                  <c:v>-25.085621631604607</c:v>
                </c:pt>
                <c:pt idx="406">
                  <c:v>-25.130974413598182</c:v>
                </c:pt>
                <c:pt idx="407">
                  <c:v>-25.176114636548203</c:v>
                </c:pt>
                <c:pt idx="408">
                  <c:v>-25.221044236093984</c:v>
                </c:pt>
                <c:pt idx="409">
                  <c:v>-25.266823938180089</c:v>
                </c:pt>
                <c:pt idx="410">
                  <c:v>-25.312386920880023</c:v>
                </c:pt>
                <c:pt idx="411">
                  <c:v>-25.357735175457073</c:v>
                </c:pt>
                <c:pt idx="412">
                  <c:v>-25.402870665547404</c:v>
                </c:pt>
                <c:pt idx="413">
                  <c:v>-25.448834299542938</c:v>
                </c:pt>
                <c:pt idx="414">
                  <c:v>-25.494579262985475</c:v>
                </c:pt>
                <c:pt idx="415">
                  <c:v>-25.540107573152618</c:v>
                </c:pt>
                <c:pt idx="416">
                  <c:v>-25.585421219474846</c:v>
                </c:pt>
                <c:pt idx="417">
                  <c:v>-25.631587903689596</c:v>
                </c:pt>
                <c:pt idx="418">
                  <c:v>-25.677533766169155</c:v>
                </c:pt>
                <c:pt idx="419">
                  <c:v>-25.723260854068975</c:v>
                </c:pt>
                <c:pt idx="420">
                  <c:v>-25.768771186375222</c:v>
                </c:pt>
                <c:pt idx="421">
                  <c:v>-25.815066857831074</c:v>
                </c:pt>
                <c:pt idx="422">
                  <c:v>-25.861140250447274</c:v>
                </c:pt>
                <c:pt idx="423">
                  <c:v>-25.906993432631843</c:v>
                </c:pt>
                <c:pt idx="424">
                  <c:v>-25.952628444428814</c:v>
                </c:pt>
                <c:pt idx="425">
                  <c:v>-25.999162180057862</c:v>
                </c:pt>
                <c:pt idx="426">
                  <c:v>-26.045471123624516</c:v>
                </c:pt>
                <c:pt idx="427">
                  <c:v>-26.091557380463847</c:v>
                </c:pt>
                <c:pt idx="428">
                  <c:v>-26.137423027037347</c:v>
                </c:pt>
                <c:pt idx="429">
                  <c:v>-26.184119932432559</c:v>
                </c:pt>
                <c:pt idx="430">
                  <c:v>-26.230590244667216</c:v>
                </c:pt>
                <c:pt idx="431">
                  <c:v>-26.27683609694995</c:v>
                </c:pt>
                <c:pt idx="432">
                  <c:v>-26.322859593244019</c:v>
                </c:pt>
                <c:pt idx="433">
                  <c:v>-26.369692471953528</c:v>
                </c:pt>
                <c:pt idx="434">
                  <c:v>-26.41629721818078</c:v>
                </c:pt>
                <c:pt idx="435">
                  <c:v>-26.462675990107911</c:v>
                </c:pt>
                <c:pt idx="436">
                  <c:v>-26.50883091632679</c:v>
                </c:pt>
                <c:pt idx="437">
                  <c:v>-26.555858063174213</c:v>
                </c:pt>
                <c:pt idx="438">
                  <c:v>-26.602654971562476</c:v>
                </c:pt>
                <c:pt idx="439">
                  <c:v>-26.649223833424472</c:v>
                </c:pt>
                <c:pt idx="440">
                  <c:v>-26.695566810573265</c:v>
                </c:pt>
                <c:pt idx="441">
                  <c:v>-26.742758808512008</c:v>
                </c:pt>
                <c:pt idx="442">
                  <c:v>-26.789718750617624</c:v>
                </c:pt>
                <c:pt idx="443">
                  <c:v>-26.836448859187726</c:v>
                </c:pt>
                <c:pt idx="444">
                  <c:v>-26.882951325909286</c:v>
                </c:pt>
                <c:pt idx="445">
                  <c:v>-26.93028021671816</c:v>
                </c:pt>
                <c:pt idx="446">
                  <c:v>-26.977375514999991</c:v>
                </c:pt>
                <c:pt idx="447">
                  <c:v>-27.024239470020962</c:v>
                </c:pt>
                <c:pt idx="448">
                  <c:v>-27.070874299986649</c:v>
                </c:pt>
                <c:pt idx="449">
                  <c:v>-27.118392894060463</c:v>
                </c:pt>
                <c:pt idx="450">
                  <c:v>-27.165675846649805</c:v>
                </c:pt>
                <c:pt idx="451">
                  <c:v>-27.212725441972477</c:v>
                </c:pt>
                <c:pt idx="452">
                  <c:v>-27.259543932568832</c:v>
                </c:pt>
                <c:pt idx="453">
                  <c:v>-27.307183565093339</c:v>
                </c:pt>
                <c:pt idx="454">
                  <c:v>-27.354586196990599</c:v>
                </c:pt>
                <c:pt idx="455">
                  <c:v>-27.401754137970734</c:v>
                </c:pt>
                <c:pt idx="456">
                  <c:v>-27.448689665605404</c:v>
                </c:pt>
                <c:pt idx="457">
                  <c:v>-27.496500640549876</c:v>
                </c:pt>
                <c:pt idx="458">
                  <c:v>-27.544072770093614</c:v>
                </c:pt>
                <c:pt idx="459">
                  <c:v>-27.591408397007324</c:v>
                </c:pt>
                <c:pt idx="460">
                  <c:v>-27.638509831305033</c:v>
                </c:pt>
                <c:pt idx="461">
                  <c:v>-27.686463122151981</c:v>
                </c:pt>
                <c:pt idx="462">
                  <c:v>-27.734176027028617</c:v>
                </c:pt>
                <c:pt idx="463">
                  <c:v>-27.781650917770339</c:v>
                </c:pt>
                <c:pt idx="464">
                  <c:v>-27.828890132895893</c:v>
                </c:pt>
                <c:pt idx="465">
                  <c:v>-27.876994897278191</c:v>
                </c:pt>
                <c:pt idx="466">
                  <c:v>-27.924857661291263</c:v>
                </c:pt>
                <c:pt idx="467">
                  <c:v>-27.972480827340043</c:v>
                </c:pt>
                <c:pt idx="468">
                  <c:v>-28.019866763910098</c:v>
                </c:pt>
                <c:pt idx="469">
                  <c:v>-28.068094868079029</c:v>
                </c:pt>
                <c:pt idx="470">
                  <c:v>-28.116079660080672</c:v>
                </c:pt>
                <c:pt idx="471">
                  <c:v>-28.163823568761231</c:v>
                </c:pt>
                <c:pt idx="472">
                  <c:v>-28.211328988509198</c:v>
                </c:pt>
                <c:pt idx="473">
                  <c:v>-28.259724231279641</c:v>
                </c:pt>
                <c:pt idx="474">
                  <c:v>-28.307874430816042</c:v>
                </c:pt>
                <c:pt idx="475">
                  <c:v>-28.355782049020775</c:v>
                </c:pt>
                <c:pt idx="476">
                  <c:v>-28.403449512662974</c:v>
                </c:pt>
                <c:pt idx="477">
                  <c:v>-28.451982627772182</c:v>
                </c:pt>
                <c:pt idx="478">
                  <c:v>-28.50026928710426</c:v>
                </c:pt>
                <c:pt idx="479">
                  <c:v>-28.548311981171331</c:v>
                </c:pt>
                <c:pt idx="480">
                  <c:v>-28.59611316474966</c:v>
                </c:pt>
                <c:pt idx="481">
                  <c:v>-28.644756525876936</c:v>
                </c:pt>
                <c:pt idx="482">
                  <c:v>-28.69315232487002</c:v>
                </c:pt>
                <c:pt idx="483">
                  <c:v>-28.741303076485227</c:v>
                </c:pt>
                <c:pt idx="484">
                  <c:v>-28.78921125921401</c:v>
                </c:pt>
                <c:pt idx="485">
                  <c:v>-28.837971948444224</c:v>
                </c:pt>
                <c:pt idx="486">
                  <c:v>-28.886483925717474</c:v>
                </c:pt>
                <c:pt idx="487">
                  <c:v>-28.934749730917638</c:v>
                </c:pt>
                <c:pt idx="488">
                  <c:v>-28.98277186710942</c:v>
                </c:pt>
                <c:pt idx="489">
                  <c:v>-29.031688295157071</c:v>
                </c:pt>
                <c:pt idx="490">
                  <c:v>-29.080354499433696</c:v>
                </c:pt>
                <c:pt idx="491">
                  <c:v>-29.128773050727936</c:v>
                </c:pt>
                <c:pt idx="492">
                  <c:v>-29.176946482335229</c:v>
                </c:pt>
                <c:pt idx="493">
                  <c:v>-29.225989832919307</c:v>
                </c:pt>
                <c:pt idx="494">
                  <c:v>-29.274781772250034</c:v>
                </c:pt>
                <c:pt idx="495">
                  <c:v>-29.323324897275349</c:v>
                </c:pt>
                <c:pt idx="496">
                  <c:v>-29.371621766860294</c:v>
                </c:pt>
                <c:pt idx="497">
                  <c:v>-29.420796055223796</c:v>
                </c:pt>
                <c:pt idx="498">
                  <c:v>-29.469717736254939</c:v>
                </c:pt>
                <c:pt idx="499">
                  <c:v>-29.518389433394162</c:v>
                </c:pt>
                <c:pt idx="500">
                  <c:v>-29.566813731396245</c:v>
                </c:pt>
                <c:pt idx="501">
                  <c:v>-29.616122088477795</c:v>
                </c:pt>
                <c:pt idx="502">
                  <c:v>-29.665176643937588</c:v>
                </c:pt>
                <c:pt idx="503">
                  <c:v>-29.713980047874884</c:v>
                </c:pt>
                <c:pt idx="504">
                  <c:v>-29.762534911091294</c:v>
                </c:pt>
                <c:pt idx="505">
                  <c:v>-29.811949765335385</c:v>
                </c:pt>
                <c:pt idx="506">
                  <c:v>-29.861109942561548</c:v>
                </c:pt>
                <c:pt idx="507">
                  <c:v>-29.910018114708187</c:v>
                </c:pt>
                <c:pt idx="508">
                  <c:v>-29.958676913894081</c:v>
                </c:pt>
                <c:pt idx="509">
                  <c:v>-30.008201664216298</c:v>
                </c:pt>
                <c:pt idx="510">
                  <c:v>-30.057470864723808</c:v>
                </c:pt>
                <c:pt idx="511">
                  <c:v>-30.106487209283262</c:v>
                </c:pt>
                <c:pt idx="512">
                  <c:v>-30.155253351413968</c:v>
                </c:pt>
                <c:pt idx="513">
                  <c:v>-30.204919331659596</c:v>
                </c:pt>
                <c:pt idx="514">
                  <c:v>-30.254328605276815</c:v>
                </c:pt>
                <c:pt idx="515">
                  <c:v>-30.303483892691709</c:v>
                </c:pt>
                <c:pt idx="516">
                  <c:v>-30.352387873358893</c:v>
                </c:pt>
                <c:pt idx="517">
                  <c:v>-30.402167193504464</c:v>
                </c:pt>
                <c:pt idx="518">
                  <c:v>-30.451688977840313</c:v>
                </c:pt>
                <c:pt idx="519">
                  <c:v>-30.500955968307153</c:v>
                </c:pt>
                <c:pt idx="520">
                  <c:v>-30.549970865347476</c:v>
                </c:pt>
                <c:pt idx="521">
                  <c:v>-30.599864902092794</c:v>
                </c:pt>
                <c:pt idx="522">
                  <c:v>-30.649500601408842</c:v>
                </c:pt>
                <c:pt idx="523">
                  <c:v>-30.698880726431263</c:v>
                </c:pt>
                <c:pt idx="524">
                  <c:v>-30.748007998274311</c:v>
                </c:pt>
                <c:pt idx="525">
                  <c:v>-30.798017564140423</c:v>
                </c:pt>
                <c:pt idx="526">
                  <c:v>-30.847768025769678</c:v>
                </c:pt>
                <c:pt idx="527">
                  <c:v>-30.897262167052084</c:v>
                </c:pt>
                <c:pt idx="528">
                  <c:v>-30.946502729339489</c:v>
                </c:pt>
                <c:pt idx="529">
                  <c:v>-30.996628129410496</c:v>
                </c:pt>
                <c:pt idx="530">
                  <c:v>-31.046493699945877</c:v>
                </c:pt>
                <c:pt idx="531">
                  <c:v>-31.096102245036406</c:v>
                </c:pt>
                <c:pt idx="532">
                  <c:v>-31.145456525727013</c:v>
                </c:pt>
                <c:pt idx="533">
                  <c:v>-31.195723481960425</c:v>
                </c:pt>
                <c:pt idx="534">
                  <c:v>-31.245729663444507</c:v>
                </c:pt>
                <c:pt idx="535">
                  <c:v>-31.295477898153415</c:v>
                </c:pt>
                <c:pt idx="536">
                  <c:v>-31.344970970430225</c:v>
                </c:pt>
                <c:pt idx="537">
                  <c:v>-31.395326663358457</c:v>
                </c:pt>
                <c:pt idx="538">
                  <c:v>-31.445421230574194</c:v>
                </c:pt>
                <c:pt idx="539">
                  <c:v>-31.495257514405811</c:v>
                </c:pt>
                <c:pt idx="540">
                  <c:v>-31.54483831315919</c:v>
                </c:pt>
                <c:pt idx="541">
                  <c:v>-31.595333073944193</c:v>
                </c:pt>
                <c:pt idx="542">
                  <c:v>-31.645565886303299</c:v>
                </c:pt>
                <c:pt idx="543">
                  <c:v>-31.695539614704913</c:v>
                </c:pt>
                <c:pt idx="544">
                  <c:v>-31.745257079041767</c:v>
                </c:pt>
                <c:pt idx="545">
                  <c:v>-31.795863863035223</c:v>
                </c:pt>
                <c:pt idx="546">
                  <c:v>-31.846208206615426</c:v>
                </c:pt>
                <c:pt idx="547">
                  <c:v>-31.896292991103003</c:v>
                </c:pt>
                <c:pt idx="548">
                  <c:v>-31.946121052797615</c:v>
                </c:pt>
                <c:pt idx="549">
                  <c:v>-31.996838425092786</c:v>
                </c:pt>
                <c:pt idx="550">
                  <c:v>-32.04729293196322</c:v>
                </c:pt>
                <c:pt idx="551">
                  <c:v>-32.097487470579381</c:v>
                </c:pt>
                <c:pt idx="552">
                  <c:v>-32.14742489266537</c:v>
                </c:pt>
                <c:pt idx="553">
                  <c:v>-32.198274529018541</c:v>
                </c:pt>
                <c:pt idx="554">
                  <c:v>-32.248860704635604</c:v>
                </c:pt>
                <c:pt idx="555">
                  <c:v>-32.299186335456504</c:v>
                </c:pt>
                <c:pt idx="556">
                  <c:v>-32.349254291487391</c:v>
                </c:pt>
                <c:pt idx="557">
                  <c:v>-32.450947601300008</c:v>
                </c:pt>
                <c:pt idx="558">
                  <c:v>-32.551596731872444</c:v>
                </c:pt>
                <c:pt idx="559">
                  <c:v>-32.65349640824099</c:v>
                </c:pt>
                <c:pt idx="560">
                  <c:v>-32.75435122121683</c:v>
                </c:pt>
                <c:pt idx="561">
                  <c:v>-32.856540574175675</c:v>
                </c:pt>
                <c:pt idx="562">
                  <c:v>-32.957682912611659</c:v>
                </c:pt>
                <c:pt idx="563">
                  <c:v>-33.059938798193343</c:v>
                </c:pt>
                <c:pt idx="564">
                  <c:v>-33.161150296421809</c:v>
                </c:pt>
                <c:pt idx="565">
                  <c:v>-33.263853347608816</c:v>
                </c:pt>
                <c:pt idx="566">
                  <c:v>-33.365507142558229</c:v>
                </c:pt>
                <c:pt idx="567">
                  <c:v>-33.468596778688905</c:v>
                </c:pt>
                <c:pt idx="568">
                  <c:v>-33.570633786808429</c:v>
                </c:pt>
                <c:pt idx="569">
                  <c:v>-33.673651543509777</c:v>
                </c:pt>
                <c:pt idx="570">
                  <c:v>-33.775622850403238</c:v>
                </c:pt>
                <c:pt idx="571">
                  <c:v>-33.8793280523346</c:v>
                </c:pt>
                <c:pt idx="572">
                  <c:v>-33.981977880121136</c:v>
                </c:pt>
                <c:pt idx="573">
                  <c:v>-34.085525533513206</c:v>
                </c:pt>
                <c:pt idx="574">
                  <c:v>-34.188026237618715</c:v>
                </c:pt>
                <c:pt idx="575">
                  <c:v>-34.292150482087095</c:v>
                </c:pt>
                <c:pt idx="576">
                  <c:v>-34.395221677229543</c:v>
                </c:pt>
                <c:pt idx="577">
                  <c:v>-34.820451005447033</c:v>
                </c:pt>
                <c:pt idx="578">
                  <c:v>-35.228884216345485</c:v>
                </c:pt>
                <c:pt idx="579">
                  <c:v>-36.072073185760445</c:v>
                </c:pt>
                <c:pt idx="580">
                  <c:v>-36.927456843112346</c:v>
                </c:pt>
                <c:pt idx="581">
                  <c:v>-37.795358582716261</c:v>
                </c:pt>
                <c:pt idx="582">
                  <c:v>-38.678157447134119</c:v>
                </c:pt>
                <c:pt idx="583">
                  <c:v>-39.577303849378467</c:v>
                </c:pt>
                <c:pt idx="584">
                  <c:v>-40.495865222675285</c:v>
                </c:pt>
                <c:pt idx="585">
                  <c:v>-41.435987651856614</c:v>
                </c:pt>
                <c:pt idx="586">
                  <c:v>-42.400726626483646</c:v>
                </c:pt>
                <c:pt idx="587">
                  <c:v>-43.393763778876256</c:v>
                </c:pt>
                <c:pt idx="588">
                  <c:v>-44.417466585326352</c:v>
                </c:pt>
                <c:pt idx="589">
                  <c:v>-45.476061716396174</c:v>
                </c:pt>
                <c:pt idx="590">
                  <c:v>-46.572578117402742</c:v>
                </c:pt>
                <c:pt idx="591">
                  <c:v>-47.710432626202447</c:v>
                </c:pt>
                <c:pt idx="592">
                  <c:v>-48.892595967092305</c:v>
                </c:pt>
                <c:pt idx="593">
                  <c:v>-50.122272439528224</c:v>
                </c:pt>
                <c:pt idx="594">
                  <c:v>-51.401640712586094</c:v>
                </c:pt>
                <c:pt idx="595">
                  <c:v>-52.73306105699433</c:v>
                </c:pt>
                <c:pt idx="596">
                  <c:v>-54.117950142722407</c:v>
                </c:pt>
                <c:pt idx="597">
                  <c:v>-55.557886201069017</c:v>
                </c:pt>
                <c:pt idx="598">
                  <c:v>-57.053413836889789</c:v>
                </c:pt>
                <c:pt idx="599">
                  <c:v>-58.605472425099975</c:v>
                </c:pt>
                <c:pt idx="600">
                  <c:v>-60.214077071422885</c:v>
                </c:pt>
              </c:numCache>
            </c:numRef>
          </c:yVal>
          <c:smooth val="0"/>
        </c:ser>
        <c:dLbls>
          <c:showLegendKey val="0"/>
          <c:showVal val="0"/>
          <c:showCatName val="0"/>
          <c:showSerName val="0"/>
          <c:showPercent val="0"/>
          <c:showBubbleSize val="0"/>
        </c:dLbls>
        <c:axId val="217981504"/>
        <c:axId val="217982080"/>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172.83076925581807</c:v>
                </c:pt>
                <c:pt idx="1">
                  <c:v>172.14131028916265</c:v>
                </c:pt>
                <c:pt idx="2">
                  <c:v>171.38615683597484</c:v>
                </c:pt>
                <c:pt idx="3">
                  <c:v>170.55918751500101</c:v>
                </c:pt>
                <c:pt idx="4">
                  <c:v>169.65438192833207</c:v>
                </c:pt>
                <c:pt idx="5">
                  <c:v>168.66300731056492</c:v>
                </c:pt>
                <c:pt idx="6">
                  <c:v>167.5786414628017</c:v>
                </c:pt>
                <c:pt idx="7">
                  <c:v>166.39224991085115</c:v>
                </c:pt>
                <c:pt idx="8">
                  <c:v>165.09580413715094</c:v>
                </c:pt>
                <c:pt idx="9">
                  <c:v>163.67883890687011</c:v>
                </c:pt>
                <c:pt idx="10">
                  <c:v>162.13209710541716</c:v>
                </c:pt>
                <c:pt idx="11">
                  <c:v>160.44486133380312</c:v>
                </c:pt>
                <c:pt idx="12">
                  <c:v>158.60516715836877</c:v>
                </c:pt>
                <c:pt idx="13">
                  <c:v>156.60349773062592</c:v>
                </c:pt>
                <c:pt idx="14">
                  <c:v>154.42686606477781</c:v>
                </c:pt>
                <c:pt idx="15">
                  <c:v>152.06470123025261</c:v>
                </c:pt>
                <c:pt idx="16">
                  <c:v>149.50586599034773</c:v>
                </c:pt>
                <c:pt idx="17">
                  <c:v>146.7405532719263</c:v>
                </c:pt>
                <c:pt idx="18">
                  <c:v>143.7589518419588</c:v>
                </c:pt>
                <c:pt idx="19">
                  <c:v>140.55459327191824</c:v>
                </c:pt>
                <c:pt idx="20">
                  <c:v>137.12194564638645</c:v>
                </c:pt>
                <c:pt idx="21">
                  <c:v>133.45983604356604</c:v>
                </c:pt>
                <c:pt idx="22">
                  <c:v>129.56930602341606</c:v>
                </c:pt>
                <c:pt idx="23">
                  <c:v>125.45750611651371</c:v>
                </c:pt>
                <c:pt idx="24">
                  <c:v>121.13449178644103</c:v>
                </c:pt>
                <c:pt idx="25">
                  <c:v>116.61731948557292</c:v>
                </c:pt>
                <c:pt idx="26">
                  <c:v>111.9267998741484</c:v>
                </c:pt>
                <c:pt idx="27">
                  <c:v>107.09168659391526</c:v>
                </c:pt>
                <c:pt idx="28">
                  <c:v>102.14403596876362</c:v>
                </c:pt>
                <c:pt idx="29">
                  <c:v>97.123351765808877</c:v>
                </c:pt>
                <c:pt idx="30">
                  <c:v>92.060525078372393</c:v>
                </c:pt>
                <c:pt idx="31">
                  <c:v>87.003772041165632</c:v>
                </c:pt>
                <c:pt idx="32">
                  <c:v>81.991183343668951</c:v>
                </c:pt>
                <c:pt idx="33">
                  <c:v>77.06668139957192</c:v>
                </c:pt>
                <c:pt idx="34">
                  <c:v>72.264340687826973</c:v>
                </c:pt>
                <c:pt idx="35">
                  <c:v>67.621113029818929</c:v>
                </c:pt>
                <c:pt idx="36">
                  <c:v>63.165919618276249</c:v>
                </c:pt>
                <c:pt idx="37">
                  <c:v>58.921125599731596</c:v>
                </c:pt>
                <c:pt idx="38">
                  <c:v>54.91012494797549</c:v>
                </c:pt>
                <c:pt idx="39">
                  <c:v>51.143799352567669</c:v>
                </c:pt>
                <c:pt idx="40">
                  <c:v>47.632990865339622</c:v>
                </c:pt>
                <c:pt idx="41">
                  <c:v>44.382387457608615</c:v>
                </c:pt>
                <c:pt idx="42">
                  <c:v>41.393729711794634</c:v>
                </c:pt>
                <c:pt idx="43">
                  <c:v>38.664509842739193</c:v>
                </c:pt>
                <c:pt idx="44">
                  <c:v>36.19154066923366</c:v>
                </c:pt>
                <c:pt idx="45">
                  <c:v>33.968735596975421</c:v>
                </c:pt>
                <c:pt idx="46">
                  <c:v>31.989884701236093</c:v>
                </c:pt>
                <c:pt idx="47">
                  <c:v>30.247331173495269</c:v>
                </c:pt>
                <c:pt idx="48">
                  <c:v>28.734099184098824</c:v>
                </c:pt>
                <c:pt idx="49">
                  <c:v>27.442565273890523</c:v>
                </c:pt>
                <c:pt idx="50">
                  <c:v>26.366145048633143</c:v>
                </c:pt>
                <c:pt idx="51">
                  <c:v>25.49843178747949</c:v>
                </c:pt>
                <c:pt idx="52">
                  <c:v>24.834250046478246</c:v>
                </c:pt>
                <c:pt idx="53">
                  <c:v>24.368841404198633</c:v>
                </c:pt>
                <c:pt idx="54">
                  <c:v>24.098423092794974</c:v>
                </c:pt>
                <c:pt idx="55">
                  <c:v>24.01958377416824</c:v>
                </c:pt>
                <c:pt idx="56">
                  <c:v>24.130302377707352</c:v>
                </c:pt>
                <c:pt idx="57">
                  <c:v>24.42894478661313</c:v>
                </c:pt>
                <c:pt idx="58">
                  <c:v>24.914053430017617</c:v>
                </c:pt>
                <c:pt idx="59">
                  <c:v>25.585040893597011</c:v>
                </c:pt>
                <c:pt idx="60">
                  <c:v>26.440636628661622</c:v>
                </c:pt>
                <c:pt idx="61">
                  <c:v>27.47966714088443</c:v>
                </c:pt>
                <c:pt idx="62">
                  <c:v>28.700922048858757</c:v>
                </c:pt>
                <c:pt idx="63">
                  <c:v>30.100303232579193</c:v>
                </c:pt>
                <c:pt idx="64">
                  <c:v>31.674488861282441</c:v>
                </c:pt>
                <c:pt idx="65">
                  <c:v>33.416654068453965</c:v>
                </c:pt>
                <c:pt idx="66">
                  <c:v>35.31836778594112</c:v>
                </c:pt>
                <c:pt idx="67">
                  <c:v>37.368203639547545</c:v>
                </c:pt>
                <c:pt idx="68">
                  <c:v>39.552892251443836</c:v>
                </c:pt>
                <c:pt idx="69">
                  <c:v>41.855256694261783</c:v>
                </c:pt>
                <c:pt idx="70">
                  <c:v>44.25664447774605</c:v>
                </c:pt>
                <c:pt idx="71">
                  <c:v>46.735403555065773</c:v>
                </c:pt>
                <c:pt idx="72">
                  <c:v>49.269508370850843</c:v>
                </c:pt>
                <c:pt idx="73">
                  <c:v>51.835210085071395</c:v>
                </c:pt>
                <c:pt idx="74">
                  <c:v>54.410376146623207</c:v>
                </c:pt>
                <c:pt idx="75">
                  <c:v>56.973061379698294</c:v>
                </c:pt>
                <c:pt idx="76">
                  <c:v>59.504341392121106</c:v>
                </c:pt>
                <c:pt idx="77">
                  <c:v>61.986554705580673</c:v>
                </c:pt>
                <c:pt idx="78">
                  <c:v>64.406039368794254</c:v>
                </c:pt>
                <c:pt idx="79">
                  <c:v>66.750863729813815</c:v>
                </c:pt>
                <c:pt idx="80">
                  <c:v>69.017670334665183</c:v>
                </c:pt>
                <c:pt idx="81">
                  <c:v>71.198945572757395</c:v>
                </c:pt>
                <c:pt idx="82">
                  <c:v>73.294582517666498</c:v>
                </c:pt>
                <c:pt idx="83">
                  <c:v>75.303753234990509</c:v>
                </c:pt>
                <c:pt idx="84">
                  <c:v>77.230439345096457</c:v>
                </c:pt>
                <c:pt idx="85">
                  <c:v>79.077247781661924</c:v>
                </c:pt>
                <c:pt idx="86">
                  <c:v>80.849003530388813</c:v>
                </c:pt>
                <c:pt idx="87">
                  <c:v>82.551460227468112</c:v>
                </c:pt>
                <c:pt idx="88">
                  <c:v>84.187723137187376</c:v>
                </c:pt>
                <c:pt idx="89">
                  <c:v>85.763304253560364</c:v>
                </c:pt>
                <c:pt idx="90">
                  <c:v>87.280799746667299</c:v>
                </c:pt>
                <c:pt idx="91">
                  <c:v>88.742207248751853</c:v>
                </c:pt>
                <c:pt idx="92">
                  <c:v>90.147485572684147</c:v>
                </c:pt>
                <c:pt idx="93">
                  <c:v>91.495173690883902</c:v>
                </c:pt>
                <c:pt idx="94">
                  <c:v>91.822496160519009</c:v>
                </c:pt>
                <c:pt idx="95">
                  <c:v>91.98568516843504</c:v>
                </c:pt>
                <c:pt idx="96">
                  <c:v>92.146013189506476</c:v>
                </c:pt>
                <c:pt idx="97">
                  <c:v>92.307163288894117</c:v>
                </c:pt>
                <c:pt idx="98">
                  <c:v>92.465450896767123</c:v>
                </c:pt>
                <c:pt idx="99">
                  <c:v>92.624550309825693</c:v>
                </c:pt>
                <c:pt idx="100">
                  <c:v>92.780782561212661</c:v>
                </c:pt>
                <c:pt idx="101">
                  <c:v>92.937691301704589</c:v>
                </c:pt>
                <c:pt idx="102">
                  <c:v>93.091729542633203</c:v>
                </c:pt>
                <c:pt idx="103">
                  <c:v>93.246536581195144</c:v>
                </c:pt>
                <c:pt idx="104">
                  <c:v>93.398462713529639</c:v>
                </c:pt>
                <c:pt idx="105">
                  <c:v>93.551013695770465</c:v>
                </c:pt>
                <c:pt idx="106">
                  <c:v>93.700675041917478</c:v>
                </c:pt>
                <c:pt idx="107">
                  <c:v>93.850821592279772</c:v>
                </c:pt>
                <c:pt idx="108">
                  <c:v>93.998071380572895</c:v>
                </c:pt>
                <c:pt idx="109">
                  <c:v>94.145770470813801</c:v>
                </c:pt>
                <c:pt idx="110">
                  <c:v>94.290563315252911</c:v>
                </c:pt>
                <c:pt idx="111">
                  <c:v>94.435857544697157</c:v>
                </c:pt>
                <c:pt idx="112">
                  <c:v>94.578230126025844</c:v>
                </c:pt>
                <c:pt idx="113">
                  <c:v>94.720953810523682</c:v>
                </c:pt>
                <c:pt idx="114">
                  <c:v>94.860742645066125</c:v>
                </c:pt>
                <c:pt idx="115">
                  <c:v>95.000824985612468</c:v>
                </c:pt>
                <c:pt idx="116">
                  <c:v>95.137957760239985</c:v>
                </c:pt>
                <c:pt idx="117">
                  <c:v>95.275319979933855</c:v>
                </c:pt>
                <c:pt idx="118">
                  <c:v>95.409716691977806</c:v>
                </c:pt>
                <c:pt idx="119">
                  <c:v>95.544192093110411</c:v>
                </c:pt>
                <c:pt idx="120">
                  <c:v>95.675688688748821</c:v>
                </c:pt>
                <c:pt idx="121">
                  <c:v>95.807195394290744</c:v>
                </c:pt>
                <c:pt idx="122">
                  <c:v>95.935709161897847</c:v>
                </c:pt>
                <c:pt idx="123">
                  <c:v>96.064232618331602</c:v>
                </c:pt>
                <c:pt idx="124">
                  <c:v>96.189745028901513</c:v>
                </c:pt>
                <c:pt idx="125">
                  <c:v>96.315111221070168</c:v>
                </c:pt>
                <c:pt idx="126">
                  <c:v>96.437451629606016</c:v>
                </c:pt>
                <c:pt idx="127">
                  <c:v>96.559562494335438</c:v>
                </c:pt>
                <c:pt idx="128">
                  <c:v>96.678632938280472</c:v>
                </c:pt>
                <c:pt idx="129">
                  <c:v>96.797386505684244</c:v>
                </c:pt>
                <c:pt idx="130">
                  <c:v>96.913085434165239</c:v>
                </c:pt>
                <c:pt idx="131">
                  <c:v>97.028376628752753</c:v>
                </c:pt>
                <c:pt idx="132">
                  <c:v>97.084867695648711</c:v>
                </c:pt>
                <c:pt idx="133">
                  <c:v>97.140599705049212</c:v>
                </c:pt>
                <c:pt idx="134">
                  <c:v>97.196878406116824</c:v>
                </c:pt>
                <c:pt idx="135">
                  <c:v>97.252378035484753</c:v>
                </c:pt>
                <c:pt idx="136">
                  <c:v>97.307106770842566</c:v>
                </c:pt>
                <c:pt idx="137">
                  <c:v>97.361072678806238</c:v>
                </c:pt>
                <c:pt idx="138">
                  <c:v>97.415483109325322</c:v>
                </c:pt>
                <c:pt idx="139">
                  <c:v>97.469112402797037</c:v>
                </c:pt>
                <c:pt idx="140">
                  <c:v>97.521968844850136</c:v>
                </c:pt>
                <c:pt idx="141">
                  <c:v>97.574060611055685</c:v>
                </c:pt>
                <c:pt idx="142">
                  <c:v>97.626603983570703</c:v>
                </c:pt>
                <c:pt idx="143">
                  <c:v>97.678362980955797</c:v>
                </c:pt>
                <c:pt idx="144">
                  <c:v>97.729346032729609</c:v>
                </c:pt>
                <c:pt idx="145">
                  <c:v>97.779561458575074</c:v>
                </c:pt>
                <c:pt idx="146">
                  <c:v>97.830154141571327</c:v>
                </c:pt>
                <c:pt idx="147">
                  <c:v>97.87996050363104</c:v>
                </c:pt>
                <c:pt idx="148">
                  <c:v>97.928989115283926</c:v>
                </c:pt>
                <c:pt idx="149">
                  <c:v>97.977248437309029</c:v>
                </c:pt>
                <c:pt idx="150">
                  <c:v>98.025836117398285</c:v>
                </c:pt>
                <c:pt idx="151">
                  <c:v>98.073636099022892</c:v>
                </c:pt>
                <c:pt idx="152">
                  <c:v>98.120657102423579</c:v>
                </c:pt>
                <c:pt idx="153">
                  <c:v>98.166907737804564</c:v>
                </c:pt>
                <c:pt idx="154">
                  <c:v>98.213458225601698</c:v>
                </c:pt>
                <c:pt idx="155">
                  <c:v>98.259219558766404</c:v>
                </c:pt>
                <c:pt idx="156">
                  <c:v>98.304200626912078</c:v>
                </c:pt>
                <c:pt idx="157">
                  <c:v>98.348410208748462</c:v>
                </c:pt>
                <c:pt idx="158">
                  <c:v>98.392867106875528</c:v>
                </c:pt>
                <c:pt idx="159">
                  <c:v>98.436534157874846</c:v>
                </c:pt>
                <c:pt idx="160">
                  <c:v>98.479420426572105</c:v>
                </c:pt>
                <c:pt idx="161">
                  <c:v>98.521534865646913</c:v>
                </c:pt>
                <c:pt idx="162">
                  <c:v>98.563825273349266</c:v>
                </c:pt>
                <c:pt idx="163">
                  <c:v>98.605326663606675</c:v>
                </c:pt>
                <c:pt idx="164">
                  <c:v>98.646048268767629</c:v>
                </c:pt>
                <c:pt idx="165">
                  <c:v>98.685999207611019</c:v>
                </c:pt>
                <c:pt idx="166">
                  <c:v>98.726109109091666</c:v>
                </c:pt>
                <c:pt idx="167">
                  <c:v>98.765430325450893</c:v>
                </c:pt>
                <c:pt idx="168">
                  <c:v>98.803972283826283</c:v>
                </c:pt>
                <c:pt idx="169">
                  <c:v>98.841744295583339</c:v>
                </c:pt>
                <c:pt idx="170">
                  <c:v>98.879541521092207</c:v>
                </c:pt>
                <c:pt idx="171">
                  <c:v>98.916554679030256</c:v>
                </c:pt>
                <c:pt idx="172">
                  <c:v>98.952793332249001</c:v>
                </c:pt>
                <c:pt idx="173">
                  <c:v>98.98826692623534</c:v>
                </c:pt>
                <c:pt idx="174">
                  <c:v>99.023850345907888</c:v>
                </c:pt>
                <c:pt idx="175">
                  <c:v>99.058649381671984</c:v>
                </c:pt>
                <c:pt idx="176">
                  <c:v>99.092673840357037</c:v>
                </c:pt>
                <c:pt idx="177">
                  <c:v>99.125933407691221</c:v>
                </c:pt>
                <c:pt idx="178">
                  <c:v>99.159227500380112</c:v>
                </c:pt>
                <c:pt idx="179">
                  <c:v>99.19173882626859</c:v>
                </c:pt>
                <c:pt idx="180">
                  <c:v>99.223477420613904</c:v>
                </c:pt>
                <c:pt idx="181">
                  <c:v>99.254453193688022</c:v>
                </c:pt>
                <c:pt idx="182">
                  <c:v>99.285272773180765</c:v>
                </c:pt>
                <c:pt idx="183">
                  <c:v>99.315319152234522</c:v>
                </c:pt>
                <c:pt idx="184">
                  <c:v>99.344602458402662</c:v>
                </c:pt>
                <c:pt idx="185">
                  <c:v>99.373132692223649</c:v>
                </c:pt>
                <c:pt idx="186">
                  <c:v>99.40167212302957</c:v>
                </c:pt>
                <c:pt idx="187">
                  <c:v>99.429437569172862</c:v>
                </c:pt>
                <c:pt idx="188">
                  <c:v>99.456439471289499</c:v>
                </c:pt>
                <c:pt idx="189">
                  <c:v>99.482688136852218</c:v>
                </c:pt>
                <c:pt idx="190">
                  <c:v>99.508673330719532</c:v>
                </c:pt>
                <c:pt idx="191">
                  <c:v>99.533897464188044</c:v>
                </c:pt>
                <c:pt idx="192">
                  <c:v>99.558371031901387</c:v>
                </c:pt>
                <c:pt idx="193">
                  <c:v>99.582104393153202</c:v>
                </c:pt>
                <c:pt idx="194">
                  <c:v>99.605701130823462</c:v>
                </c:pt>
                <c:pt idx="195">
                  <c:v>99.628540016940562</c:v>
                </c:pt>
                <c:pt idx="196">
                  <c:v>99.650631815289259</c:v>
                </c:pt>
                <c:pt idx="197">
                  <c:v>99.671987147993363</c:v>
                </c:pt>
                <c:pt idx="198">
                  <c:v>99.693060190587673</c:v>
                </c:pt>
                <c:pt idx="199">
                  <c:v>99.713386144256745</c:v>
                </c:pt>
                <c:pt idx="200">
                  <c:v>99.732975898768458</c:v>
                </c:pt>
                <c:pt idx="201">
                  <c:v>99.751840197969358</c:v>
                </c:pt>
                <c:pt idx="202">
                  <c:v>99.770370812564295</c:v>
                </c:pt>
                <c:pt idx="203">
                  <c:v>99.78816674967716</c:v>
                </c:pt>
                <c:pt idx="204">
                  <c:v>99.805239000344301</c:v>
                </c:pt>
                <c:pt idx="205">
                  <c:v>99.821598405461998</c:v>
                </c:pt>
                <c:pt idx="206">
                  <c:v>99.837630163772758</c:v>
                </c:pt>
                <c:pt idx="207">
                  <c:v>99.852936315455821</c:v>
                </c:pt>
                <c:pt idx="208">
                  <c:v>99.867528040374523</c:v>
                </c:pt>
                <c:pt idx="209">
                  <c:v>99.88141636201469</c:v>
                </c:pt>
                <c:pt idx="210">
                  <c:v>99.894962833585566</c:v>
                </c:pt>
                <c:pt idx="211">
                  <c:v>99.907790053600849</c:v>
                </c:pt>
                <c:pt idx="212">
                  <c:v>99.919909472090339</c:v>
                </c:pt>
                <c:pt idx="213">
                  <c:v>99.9313323744352</c:v>
                </c:pt>
                <c:pt idx="214">
                  <c:v>99.942277028372203</c:v>
                </c:pt>
                <c:pt idx="215">
                  <c:v>99.952520321689335</c:v>
                </c:pt>
                <c:pt idx="216">
                  <c:v>99.962073713632762</c:v>
                </c:pt>
                <c:pt idx="217">
                  <c:v>99.97094849507576</c:v>
                </c:pt>
                <c:pt idx="218">
                  <c:v>99.979335231134399</c:v>
                </c:pt>
                <c:pt idx="219">
                  <c:v>99.9870354210355</c:v>
                </c:pt>
                <c:pt idx="220">
                  <c:v>99.994060614463507</c:v>
                </c:pt>
                <c:pt idx="221">
                  <c:v>100.00042218706818</c:v>
                </c:pt>
                <c:pt idx="222">
                  <c:v>100.006251267921</c:v>
                </c:pt>
                <c:pt idx="223">
                  <c:v>100.01141030608706</c:v>
                </c:pt>
                <c:pt idx="224">
                  <c:v>100.01591090713133</c:v>
                </c:pt>
                <c:pt idx="225">
                  <c:v>100.01976449724093</c:v>
                </c:pt>
                <c:pt idx="226">
                  <c:v>100.02305449706623</c:v>
                </c:pt>
                <c:pt idx="227">
                  <c:v>100.02568857242223</c:v>
                </c:pt>
                <c:pt idx="228">
                  <c:v>100.02767845566927</c:v>
                </c:pt>
                <c:pt idx="229">
                  <c:v>100.02903569258594</c:v>
                </c:pt>
                <c:pt idx="230">
                  <c:v>100.02988825000249</c:v>
                </c:pt>
                <c:pt idx="231">
                  <c:v>100.02936656738886</c:v>
                </c:pt>
                <c:pt idx="232">
                  <c:v>100.02822847432599</c:v>
                </c:pt>
                <c:pt idx="233">
                  <c:v>100.02643676775955</c:v>
                </c:pt>
                <c:pt idx="234">
                  <c:v>100.02402308452162</c:v>
                </c:pt>
                <c:pt idx="235">
                  <c:v>100.02099928618127</c:v>
                </c:pt>
                <c:pt idx="236">
                  <c:v>100.01737703471372</c:v>
                </c:pt>
                <c:pt idx="237">
                  <c:v>100.01307639389059</c:v>
                </c:pt>
                <c:pt idx="238">
                  <c:v>100.00817667348596</c:v>
                </c:pt>
                <c:pt idx="239">
                  <c:v>100.00268963742558</c:v>
                </c:pt>
                <c:pt idx="240">
                  <c:v>99.996626846678552</c:v>
                </c:pt>
                <c:pt idx="241">
                  <c:v>99.989822916968862</c:v>
                </c:pt>
                <c:pt idx="242">
                  <c:v>99.982437403495581</c:v>
                </c:pt>
                <c:pt idx="243">
                  <c:v>99.974482132983397</c:v>
                </c:pt>
                <c:pt idx="244">
                  <c:v>99.965968721854736</c:v>
                </c:pt>
                <c:pt idx="245">
                  <c:v>99.956701694640685</c:v>
                </c:pt>
                <c:pt idx="246">
                  <c:v>99.946875400705494</c:v>
                </c:pt>
                <c:pt idx="247">
                  <c:v>99.936501587189511</c:v>
                </c:pt>
                <c:pt idx="248">
                  <c:v>99.925591786626583</c:v>
                </c:pt>
                <c:pt idx="249">
                  <c:v>99.913871970866566</c:v>
                </c:pt>
                <c:pt idx="250">
                  <c:v>99.901613527926813</c:v>
                </c:pt>
                <c:pt idx="251">
                  <c:v>99.888828178172105</c:v>
                </c:pt>
                <c:pt idx="252">
                  <c:v>99.875527421505652</c:v>
                </c:pt>
                <c:pt idx="253">
                  <c:v>99.861425007875866</c:v>
                </c:pt>
                <c:pt idx="254">
                  <c:v>99.846808691483204</c:v>
                </c:pt>
                <c:pt idx="255">
                  <c:v>99.831690031088769</c:v>
                </c:pt>
                <c:pt idx="256">
                  <c:v>99.816080362289384</c:v>
                </c:pt>
                <c:pt idx="257">
                  <c:v>99.799567694571962</c:v>
                </c:pt>
                <c:pt idx="258">
                  <c:v>99.782561714650186</c:v>
                </c:pt>
                <c:pt idx="259">
                  <c:v>99.765073956262057</c:v>
                </c:pt>
                <c:pt idx="260">
                  <c:v>99.747115723538585</c:v>
                </c:pt>
                <c:pt idx="261">
                  <c:v>99.728274259266271</c:v>
                </c:pt>
                <c:pt idx="262">
                  <c:v>99.708963891940556</c:v>
                </c:pt>
                <c:pt idx="263">
                  <c:v>99.689195996531041</c:v>
                </c:pt>
                <c:pt idx="264">
                  <c:v>99.668981715242992</c:v>
                </c:pt>
                <c:pt idx="265">
                  <c:v>99.647868214732711</c:v>
                </c:pt>
                <c:pt idx="266">
                  <c:v>99.626311088022646</c:v>
                </c:pt>
                <c:pt idx="267">
                  <c:v>99.604321511441427</c:v>
                </c:pt>
                <c:pt idx="268">
                  <c:v>99.581910426363677</c:v>
                </c:pt>
                <c:pt idx="269">
                  <c:v>99.5585322974501</c:v>
                </c:pt>
                <c:pt idx="270">
                  <c:v>99.534734545913807</c:v>
                </c:pt>
                <c:pt idx="271">
                  <c:v>99.510528189165484</c:v>
                </c:pt>
                <c:pt idx="272">
                  <c:v>99.485924006233446</c:v>
                </c:pt>
                <c:pt idx="273">
                  <c:v>99.46033853105439</c:v>
                </c:pt>
                <c:pt idx="274">
                  <c:v>99.434358352077879</c:v>
                </c:pt>
                <c:pt idx="275">
                  <c:v>99.407994284657221</c:v>
                </c:pt>
                <c:pt idx="276">
                  <c:v>99.38125690343341</c:v>
                </c:pt>
                <c:pt idx="277">
                  <c:v>99.353590789286443</c:v>
                </c:pt>
                <c:pt idx="278">
                  <c:v>99.325557236905325</c:v>
                </c:pt>
                <c:pt idx="279">
                  <c:v>99.297166749002216</c:v>
                </c:pt>
                <c:pt idx="280">
                  <c:v>99.26842958850321</c:v>
                </c:pt>
                <c:pt idx="281">
                  <c:v>99.238563641041026</c:v>
                </c:pt>
                <c:pt idx="282">
                  <c:v>99.208353176621358</c:v>
                </c:pt>
                <c:pt idx="283">
                  <c:v>99.177808558985092</c:v>
                </c:pt>
                <c:pt idx="284">
                  <c:v>99.146939907650875</c:v>
                </c:pt>
                <c:pt idx="285">
                  <c:v>99.115137198060083</c:v>
                </c:pt>
                <c:pt idx="286">
                  <c:v>99.083018012519844</c:v>
                </c:pt>
                <c:pt idx="287">
                  <c:v>99.05059233306271</c:v>
                </c:pt>
                <c:pt idx="288">
                  <c:v>99.017869900617612</c:v>
                </c:pt>
                <c:pt idx="289">
                  <c:v>98.984002795004429</c:v>
                </c:pt>
                <c:pt idx="290">
                  <c:v>98.949843401295723</c:v>
                </c:pt>
                <c:pt idx="291">
                  <c:v>98.915401480895568</c:v>
                </c:pt>
                <c:pt idx="292">
                  <c:v>98.880686552088264</c:v>
                </c:pt>
                <c:pt idx="293">
                  <c:v>98.844896520363022</c:v>
                </c:pt>
                <c:pt idx="294">
                  <c:v>98.808840118500342</c:v>
                </c:pt>
                <c:pt idx="295">
                  <c:v>98.772526786905033</c:v>
                </c:pt>
                <c:pt idx="296">
                  <c:v>98.735965724124839</c:v>
                </c:pt>
                <c:pt idx="297">
                  <c:v>98.698331995959563</c:v>
                </c:pt>
                <c:pt idx="298">
                  <c:v>98.660457924879481</c:v>
                </c:pt>
                <c:pt idx="299">
                  <c:v>98.622352600041339</c:v>
                </c:pt>
                <c:pt idx="300">
                  <c:v>98.584024871131035</c:v>
                </c:pt>
                <c:pt idx="301">
                  <c:v>98.544629686645493</c:v>
                </c:pt>
                <c:pt idx="302">
                  <c:v>98.505020118680662</c:v>
                </c:pt>
                <c:pt idx="303">
                  <c:v>98.465204879114012</c:v>
                </c:pt>
                <c:pt idx="304">
                  <c:v>98.425192443803326</c:v>
                </c:pt>
                <c:pt idx="305">
                  <c:v>98.383961901030332</c:v>
                </c:pt>
                <c:pt idx="306">
                  <c:v>98.342541281605534</c:v>
                </c:pt>
                <c:pt idx="307">
                  <c:v>98.300938993263799</c:v>
                </c:pt>
                <c:pt idx="308">
                  <c:v>98.259163208628649</c:v>
                </c:pt>
                <c:pt idx="309">
                  <c:v>98.216336325356494</c:v>
                </c:pt>
                <c:pt idx="310">
                  <c:v>98.173345054571769</c:v>
                </c:pt>
                <c:pt idx="311">
                  <c:v>98.130197377197618</c:v>
                </c:pt>
                <c:pt idx="312">
                  <c:v>98.086901044650546</c:v>
                </c:pt>
                <c:pt idx="313">
                  <c:v>98.042402433798983</c:v>
                </c:pt>
                <c:pt idx="314">
                  <c:v>97.997763582754828</c:v>
                </c:pt>
                <c:pt idx="315">
                  <c:v>97.952992114823331</c:v>
                </c:pt>
                <c:pt idx="316">
                  <c:v>97.908095426981689</c:v>
                </c:pt>
                <c:pt idx="317">
                  <c:v>97.862007535754842</c:v>
                </c:pt>
                <c:pt idx="318">
                  <c:v>97.815803382102345</c:v>
                </c:pt>
                <c:pt idx="319">
                  <c:v>97.769490207043447</c:v>
                </c:pt>
                <c:pt idx="320">
                  <c:v>97.723075029572158</c:v>
                </c:pt>
                <c:pt idx="321">
                  <c:v>97.675481936878526</c:v>
                </c:pt>
                <c:pt idx="322">
                  <c:v>97.627796226695054</c:v>
                </c:pt>
                <c:pt idx="323">
                  <c:v>97.58002473774485</c:v>
                </c:pt>
                <c:pt idx="324">
                  <c:v>97.532174092060757</c:v>
                </c:pt>
                <c:pt idx="325">
                  <c:v>97.483160736890738</c:v>
                </c:pt>
                <c:pt idx="326">
                  <c:v>97.4340779294795</c:v>
                </c:pt>
                <c:pt idx="327">
                  <c:v>97.384932090808874</c:v>
                </c:pt>
                <c:pt idx="328">
                  <c:v>97.335729431438324</c:v>
                </c:pt>
                <c:pt idx="329">
                  <c:v>97.285296667971423</c:v>
                </c:pt>
                <c:pt idx="330">
                  <c:v>97.234816861026175</c:v>
                </c:pt>
                <c:pt idx="331">
                  <c:v>97.184296032398365</c:v>
                </c:pt>
                <c:pt idx="332">
                  <c:v>97.133739999211372</c:v>
                </c:pt>
                <c:pt idx="333">
                  <c:v>97.082056241533607</c:v>
                </c:pt>
                <c:pt idx="334">
                  <c:v>97.030347384318873</c:v>
                </c:pt>
                <c:pt idx="335">
                  <c:v>96.978619009672343</c:v>
                </c:pt>
                <c:pt idx="336">
                  <c:v>96.926876502953206</c:v>
                </c:pt>
                <c:pt idx="337">
                  <c:v>96.87385657178578</c:v>
                </c:pt>
                <c:pt idx="338">
                  <c:v>96.820832644276621</c:v>
                </c:pt>
                <c:pt idx="339">
                  <c:v>96.767809908759773</c:v>
                </c:pt>
                <c:pt idx="340">
                  <c:v>96.714793362963675</c:v>
                </c:pt>
                <c:pt idx="341">
                  <c:v>96.660519918345585</c:v>
                </c:pt>
                <c:pt idx="342">
                  <c:v>96.606262981769078</c:v>
                </c:pt>
                <c:pt idx="343">
                  <c:v>96.552027336479739</c:v>
                </c:pt>
                <c:pt idx="344">
                  <c:v>96.497817582119865</c:v>
                </c:pt>
                <c:pt idx="345">
                  <c:v>96.442457027568196</c:v>
                </c:pt>
                <c:pt idx="346">
                  <c:v>96.387132654438375</c:v>
                </c:pt>
                <c:pt idx="347">
                  <c:v>96.33184881442611</c:v>
                </c:pt>
                <c:pt idx="348">
                  <c:v>96.276609684416755</c:v>
                </c:pt>
                <c:pt idx="349">
                  <c:v>96.220073806116076</c:v>
                </c:pt>
                <c:pt idx="350">
                  <c:v>96.163593181457856</c:v>
                </c:pt>
                <c:pt idx="351">
                  <c:v>96.107171767819764</c:v>
                </c:pt>
                <c:pt idx="352">
                  <c:v>96.050813355045392</c:v>
                </c:pt>
                <c:pt idx="353">
                  <c:v>95.993182131616678</c:v>
                </c:pt>
                <c:pt idx="354">
                  <c:v>95.935624471078725</c:v>
                </c:pt>
                <c:pt idx="355">
                  <c:v>95.878143931969575</c:v>
                </c:pt>
                <c:pt idx="356">
                  <c:v>95.82074391324258</c:v>
                </c:pt>
                <c:pt idx="357">
                  <c:v>95.762178988885694</c:v>
                </c:pt>
                <c:pt idx="358">
                  <c:v>95.703704823694224</c:v>
                </c:pt>
                <c:pt idx="359">
                  <c:v>95.64532456367526</c:v>
                </c:pt>
                <c:pt idx="360">
                  <c:v>95.587041204591799</c:v>
                </c:pt>
                <c:pt idx="361">
                  <c:v>95.527451855188673</c:v>
                </c:pt>
                <c:pt idx="362">
                  <c:v>95.467970051151497</c:v>
                </c:pt>
                <c:pt idx="363">
                  <c:v>95.408598556033439</c:v>
                </c:pt>
                <c:pt idx="364">
                  <c:v>95.349339991197851</c:v>
                </c:pt>
                <c:pt idx="365">
                  <c:v>95.288883878069527</c:v>
                </c:pt>
                <c:pt idx="366">
                  <c:v>95.228550877421426</c:v>
                </c:pt>
                <c:pt idx="367">
                  <c:v>95.168343362632598</c:v>
                </c:pt>
                <c:pt idx="368">
                  <c:v>95.108263574127548</c:v>
                </c:pt>
                <c:pt idx="369">
                  <c:v>95.046849100862389</c:v>
                </c:pt>
                <c:pt idx="370">
                  <c:v>94.985573032176916</c:v>
                </c:pt>
                <c:pt idx="371">
                  <c:v>94.924437375840554</c:v>
                </c:pt>
                <c:pt idx="372">
                  <c:v>94.863444014806191</c:v>
                </c:pt>
                <c:pt idx="373">
                  <c:v>94.801224451939461</c:v>
                </c:pt>
                <c:pt idx="374">
                  <c:v>94.739157276978972</c:v>
                </c:pt>
                <c:pt idx="375">
                  <c:v>94.677244129992985</c:v>
                </c:pt>
                <c:pt idx="376">
                  <c:v>94.615486535343976</c:v>
                </c:pt>
                <c:pt idx="377">
                  <c:v>94.552369855503386</c:v>
                </c:pt>
                <c:pt idx="378">
                  <c:v>94.489419377296642</c:v>
                </c:pt>
                <c:pt idx="379">
                  <c:v>94.42663639313632</c:v>
                </c:pt>
                <c:pt idx="380">
                  <c:v>94.364022087903578</c:v>
                </c:pt>
                <c:pt idx="381">
                  <c:v>94.300235673469075</c:v>
                </c:pt>
                <c:pt idx="382">
                  <c:v>94.236627451441819</c:v>
                </c:pt>
                <c:pt idx="383">
                  <c:v>94.173198366352082</c:v>
                </c:pt>
                <c:pt idx="384">
                  <c:v>94.109949264616972</c:v>
                </c:pt>
                <c:pt idx="385">
                  <c:v>94.045320167230969</c:v>
                </c:pt>
                <c:pt idx="386">
                  <c:v>93.980881587238514</c:v>
                </c:pt>
                <c:pt idx="387">
                  <c:v>93.916634142663213</c:v>
                </c:pt>
                <c:pt idx="388">
                  <c:v>93.852578361488</c:v>
                </c:pt>
                <c:pt idx="389">
                  <c:v>93.787249703422972</c:v>
                </c:pt>
                <c:pt idx="390">
                  <c:v>93.722122463582323</c:v>
                </c:pt>
                <c:pt idx="391">
                  <c:v>93.657196941075</c:v>
                </c:pt>
                <c:pt idx="392">
                  <c:v>93.592473353616796</c:v>
                </c:pt>
                <c:pt idx="393">
                  <c:v>93.526505097521152</c:v>
                </c:pt>
                <c:pt idx="394">
                  <c:v>93.460748165227116</c:v>
                </c:pt>
                <c:pt idx="395">
                  <c:v>93.395202550363038</c:v>
                </c:pt>
                <c:pt idx="396">
                  <c:v>93.329868173792065</c:v>
                </c:pt>
                <c:pt idx="397">
                  <c:v>93.26316648241999</c:v>
                </c:pt>
                <c:pt idx="398">
                  <c:v>93.196686024097559</c:v>
                </c:pt>
                <c:pt idx="399">
                  <c:v>93.130426499803676</c:v>
                </c:pt>
                <c:pt idx="400">
                  <c:v>93.064387545707362</c:v>
                </c:pt>
                <c:pt idx="401">
                  <c:v>92.997085521863667</c:v>
                </c:pt>
                <c:pt idx="402">
                  <c:v>92.930013176422278</c:v>
                </c:pt>
                <c:pt idx="403">
                  <c:v>92.863169932045125</c:v>
                </c:pt>
                <c:pt idx="404">
                  <c:v>92.796555154797929</c:v>
                </c:pt>
                <c:pt idx="405">
                  <c:v>92.728632081112792</c:v>
                </c:pt>
                <c:pt idx="406">
                  <c:v>92.660946678015549</c:v>
                </c:pt>
                <c:pt idx="407">
                  <c:v>92.593498102909251</c:v>
                </c:pt>
                <c:pt idx="408">
                  <c:v>92.526285464446204</c:v>
                </c:pt>
                <c:pt idx="409">
                  <c:v>92.457721127467636</c:v>
                </c:pt>
                <c:pt idx="410">
                  <c:v>92.389402024419738</c:v>
                </c:pt>
                <c:pt idx="411">
                  <c:v>92.321327059176951</c:v>
                </c:pt>
                <c:pt idx="412">
                  <c:v>92.253495094394353</c:v>
                </c:pt>
                <c:pt idx="413">
                  <c:v>92.184340917932431</c:v>
                </c:pt>
                <c:pt idx="414">
                  <c:v>92.11543860974183</c:v>
                </c:pt>
                <c:pt idx="415">
                  <c:v>92.046786835041317</c:v>
                </c:pt>
                <c:pt idx="416">
                  <c:v>91.978384225225753</c:v>
                </c:pt>
                <c:pt idx="417">
                  <c:v>91.908617994259259</c:v>
                </c:pt>
                <c:pt idx="418">
                  <c:v>91.839109871657428</c:v>
                </c:pt>
                <c:pt idx="419">
                  <c:v>91.769858295161825</c:v>
                </c:pt>
                <c:pt idx="420">
                  <c:v>91.700861675778029</c:v>
                </c:pt>
                <c:pt idx="421">
                  <c:v>91.6305997723545</c:v>
                </c:pt>
                <c:pt idx="422">
                  <c:v>91.560600804118707</c:v>
                </c:pt>
                <c:pt idx="423">
                  <c:v>91.490863002182607</c:v>
                </c:pt>
                <c:pt idx="424">
                  <c:v>91.421384577888801</c:v>
                </c:pt>
                <c:pt idx="425">
                  <c:v>91.350463687307311</c:v>
                </c:pt>
                <c:pt idx="426">
                  <c:v>91.279811239544628</c:v>
                </c:pt>
                <c:pt idx="427">
                  <c:v>91.209425259253237</c:v>
                </c:pt>
                <c:pt idx="428">
                  <c:v>91.139303757826482</c:v>
                </c:pt>
                <c:pt idx="429">
                  <c:v>91.067837232101297</c:v>
                </c:pt>
                <c:pt idx="430">
                  <c:v>90.996643275555812</c:v>
                </c:pt>
                <c:pt idx="431">
                  <c:v>90.925719727580926</c:v>
                </c:pt>
                <c:pt idx="432">
                  <c:v>90.85506442065406</c:v>
                </c:pt>
                <c:pt idx="433">
                  <c:v>90.783091994243563</c:v>
                </c:pt>
                <c:pt idx="434">
                  <c:v>90.711395436031765</c:v>
                </c:pt>
                <c:pt idx="435">
                  <c:v>90.639972416633071</c:v>
                </c:pt>
                <c:pt idx="436">
                  <c:v>90.568820605799374</c:v>
                </c:pt>
                <c:pt idx="437">
                  <c:v>90.496248602922364</c:v>
                </c:pt>
                <c:pt idx="438">
                  <c:v>90.423955972831592</c:v>
                </c:pt>
                <c:pt idx="439">
                  <c:v>90.351940220667956</c:v>
                </c:pt>
                <c:pt idx="440">
                  <c:v>90.280198856469084</c:v>
                </c:pt>
                <c:pt idx="441">
                  <c:v>90.207066068150183</c:v>
                </c:pt>
                <c:pt idx="442">
                  <c:v>90.134215358875508</c:v>
                </c:pt>
                <c:pt idx="443">
                  <c:v>90.061644084170609</c:v>
                </c:pt>
                <c:pt idx="444">
                  <c:v>89.98934960993536</c:v>
                </c:pt>
                <c:pt idx="445">
                  <c:v>89.915691359419469</c:v>
                </c:pt>
                <c:pt idx="446">
                  <c:v>89.842317131879511</c:v>
                </c:pt>
                <c:pt idx="447">
                  <c:v>89.769224149275928</c:v>
                </c:pt>
                <c:pt idx="448">
                  <c:v>89.696409649103288</c:v>
                </c:pt>
                <c:pt idx="449">
                  <c:v>89.622133816795852</c:v>
                </c:pt>
                <c:pt idx="450">
                  <c:v>89.54814418133185</c:v>
                </c:pt>
                <c:pt idx="451">
                  <c:v>89.474437832591875</c:v>
                </c:pt>
                <c:pt idx="452">
                  <c:v>89.401011880943585</c:v>
                </c:pt>
                <c:pt idx="453">
                  <c:v>89.326213915940144</c:v>
                </c:pt>
                <c:pt idx="454">
                  <c:v>89.251703118647981</c:v>
                </c:pt>
                <c:pt idx="455">
                  <c:v>89.177476469811211</c:v>
                </c:pt>
                <c:pt idx="456">
                  <c:v>89.103530975220821</c:v>
                </c:pt>
                <c:pt idx="457">
                  <c:v>89.028118779096616</c:v>
                </c:pt>
                <c:pt idx="458">
                  <c:v>88.952994972116016</c:v>
                </c:pt>
                <c:pt idx="459">
                  <c:v>88.878156426507672</c:v>
                </c:pt>
                <c:pt idx="460">
                  <c:v>88.803600043934722</c:v>
                </c:pt>
                <c:pt idx="461">
                  <c:v>88.727604185782056</c:v>
                </c:pt>
                <c:pt idx="462">
                  <c:v>88.651897257508978</c:v>
                </c:pt>
                <c:pt idx="463">
                  <c:v>88.57647603803359</c:v>
                </c:pt>
                <c:pt idx="464">
                  <c:v>88.501337339766181</c:v>
                </c:pt>
                <c:pt idx="465">
                  <c:v>88.424726818489589</c:v>
                </c:pt>
                <c:pt idx="466">
                  <c:v>88.348405569243553</c:v>
                </c:pt>
                <c:pt idx="467">
                  <c:v>88.27237028505111</c:v>
                </c:pt>
                <c:pt idx="468">
                  <c:v>88.196617696250257</c:v>
                </c:pt>
                <c:pt idx="469">
                  <c:v>88.119419426277062</c:v>
                </c:pt>
                <c:pt idx="470">
                  <c:v>88.04251014688117</c:v>
                </c:pt>
                <c:pt idx="471">
                  <c:v>87.965886479870434</c:v>
                </c:pt>
                <c:pt idx="472">
                  <c:v>87.889545087847466</c:v>
                </c:pt>
                <c:pt idx="473">
                  <c:v>87.81166964195107</c:v>
                </c:pt>
                <c:pt idx="474">
                  <c:v>87.734083163418248</c:v>
                </c:pt>
                <c:pt idx="475">
                  <c:v>87.656782202117142</c:v>
                </c:pt>
                <c:pt idx="476">
                  <c:v>87.57976335209446</c:v>
                </c:pt>
                <c:pt idx="477">
                  <c:v>87.501236694502836</c:v>
                </c:pt>
                <c:pt idx="478">
                  <c:v>87.422998385430049</c:v>
                </c:pt>
                <c:pt idx="479">
                  <c:v>87.345044917004486</c:v>
                </c:pt>
                <c:pt idx="480">
                  <c:v>87.267372828579667</c:v>
                </c:pt>
                <c:pt idx="481">
                  <c:v>87.18821795112099</c:v>
                </c:pt>
                <c:pt idx="482">
                  <c:v>87.109350252993039</c:v>
                </c:pt>
                <c:pt idx="483">
                  <c:v>87.030766182307332</c:v>
                </c:pt>
                <c:pt idx="484">
                  <c:v>86.952462237103987</c:v>
                </c:pt>
                <c:pt idx="485">
                  <c:v>86.872645084052266</c:v>
                </c:pt>
                <c:pt idx="486">
                  <c:v>86.793113823377524</c:v>
                </c:pt>
                <c:pt idx="487">
                  <c:v>86.713864865035035</c:v>
                </c:pt>
                <c:pt idx="488">
                  <c:v>86.634894671410294</c:v>
                </c:pt>
                <c:pt idx="489">
                  <c:v>86.554328121921614</c:v>
                </c:pt>
                <c:pt idx="490">
                  <c:v>86.474046439989934</c:v>
                </c:pt>
                <c:pt idx="491">
                  <c:v>86.394045995897926</c:v>
                </c:pt>
                <c:pt idx="492">
                  <c:v>86.314323214812802</c:v>
                </c:pt>
                <c:pt idx="493">
                  <c:v>86.233028940938638</c:v>
                </c:pt>
                <c:pt idx="494">
                  <c:v>86.152018003114108</c:v>
                </c:pt>
                <c:pt idx="495">
                  <c:v>86.071286744885583</c:v>
                </c:pt>
                <c:pt idx="496">
                  <c:v>85.990831566808779</c:v>
                </c:pt>
                <c:pt idx="497">
                  <c:v>85.908776542167999</c:v>
                </c:pt>
                <c:pt idx="498">
                  <c:v>85.827003216362925</c:v>
                </c:pt>
                <c:pt idx="499">
                  <c:v>85.74550791155859</c:v>
                </c:pt>
                <c:pt idx="500">
                  <c:v>85.664287008875149</c:v>
                </c:pt>
                <c:pt idx="501">
                  <c:v>85.581438491030767</c:v>
                </c:pt>
                <c:pt idx="502">
                  <c:v>85.49886993370788</c:v>
                </c:pt>
                <c:pt idx="503">
                  <c:v>85.416577642903817</c:v>
                </c:pt>
                <c:pt idx="504">
                  <c:v>85.334557985345697</c:v>
                </c:pt>
                <c:pt idx="505">
                  <c:v>85.250934108781763</c:v>
                </c:pt>
                <c:pt idx="506">
                  <c:v>85.167588023622983</c:v>
                </c:pt>
                <c:pt idx="507">
                  <c:v>85.08451603145717</c:v>
                </c:pt>
                <c:pt idx="508">
                  <c:v>85.001714496059066</c:v>
                </c:pt>
                <c:pt idx="509">
                  <c:v>84.917281009394955</c:v>
                </c:pt>
                <c:pt idx="510">
                  <c:v>84.83312308359946</c:v>
                </c:pt>
                <c:pt idx="511">
                  <c:v>84.749237020358279</c:v>
                </c:pt>
                <c:pt idx="512">
                  <c:v>84.665619184842186</c:v>
                </c:pt>
                <c:pt idx="513">
                  <c:v>84.580292823005962</c:v>
                </c:pt>
                <c:pt idx="514">
                  <c:v>84.495240049580573</c:v>
                </c:pt>
                <c:pt idx="515">
                  <c:v>84.41045716435174</c:v>
                </c:pt>
                <c:pt idx="516">
                  <c:v>84.325940531885024</c:v>
                </c:pt>
                <c:pt idx="517">
                  <c:v>84.23973821239781</c:v>
                </c:pt>
                <c:pt idx="518">
                  <c:v>84.153807124919027</c:v>
                </c:pt>
                <c:pt idx="519">
                  <c:v>84.068143578250471</c:v>
                </c:pt>
                <c:pt idx="520">
                  <c:v>83.982743946967631</c:v>
                </c:pt>
                <c:pt idx="521">
                  <c:v>83.895632231594305</c:v>
                </c:pt>
                <c:pt idx="522">
                  <c:v>83.80878934717316</c:v>
                </c:pt>
                <c:pt idx="523">
                  <c:v>83.722211615630329</c:v>
                </c:pt>
                <c:pt idx="524">
                  <c:v>83.635895425517688</c:v>
                </c:pt>
                <c:pt idx="525">
                  <c:v>83.547841129413698</c:v>
                </c:pt>
                <c:pt idx="526">
                  <c:v>83.460053224879417</c:v>
                </c:pt>
                <c:pt idx="527">
                  <c:v>83.372528050944226</c:v>
                </c:pt>
                <c:pt idx="528">
                  <c:v>83.285262013976379</c:v>
                </c:pt>
                <c:pt idx="529">
                  <c:v>83.196232193519222</c:v>
                </c:pt>
                <c:pt idx="530">
                  <c:v>83.10746629371485</c:v>
                </c:pt>
                <c:pt idx="531">
                  <c:v>83.018960674543351</c:v>
                </c:pt>
                <c:pt idx="532">
                  <c:v>82.930711763904142</c:v>
                </c:pt>
                <c:pt idx="533">
                  <c:v>82.840627293359233</c:v>
                </c:pt>
                <c:pt idx="534">
                  <c:v>82.750804516373805</c:v>
                </c:pt>
                <c:pt idx="535">
                  <c:v>82.661239812045224</c:v>
                </c:pt>
                <c:pt idx="536">
                  <c:v>82.571929627981817</c:v>
                </c:pt>
                <c:pt idx="537">
                  <c:v>82.480851383629215</c:v>
                </c:pt>
                <c:pt idx="538">
                  <c:v>82.390032045574074</c:v>
                </c:pt>
                <c:pt idx="539">
                  <c:v>82.299468026849425</c:v>
                </c:pt>
                <c:pt idx="540">
                  <c:v>82.209155809184324</c:v>
                </c:pt>
                <c:pt idx="541">
                  <c:v>82.116959205711694</c:v>
                </c:pt>
                <c:pt idx="542">
                  <c:v>82.02501923952147</c:v>
                </c:pt>
                <c:pt idx="543">
                  <c:v>81.933332350122555</c:v>
                </c:pt>
                <c:pt idx="544">
                  <c:v>81.841895046063115</c:v>
                </c:pt>
                <c:pt idx="545">
                  <c:v>81.748594430942845</c:v>
                </c:pt>
                <c:pt idx="546">
                  <c:v>81.655547917881393</c:v>
                </c:pt>
                <c:pt idx="547">
                  <c:v>81.562751981679838</c:v>
                </c:pt>
                <c:pt idx="548">
                  <c:v>81.470203166265392</c:v>
                </c:pt>
                <c:pt idx="549">
                  <c:v>81.375766717796665</c:v>
                </c:pt>
                <c:pt idx="550">
                  <c:v>81.28158184556294</c:v>
                </c:pt>
                <c:pt idx="551">
                  <c:v>81.187645062808102</c:v>
                </c:pt>
                <c:pt idx="552">
                  <c:v>81.093952951878748</c:v>
                </c:pt>
                <c:pt idx="553">
                  <c:v>80.998305165774852</c:v>
                </c:pt>
                <c:pt idx="554">
                  <c:v>80.902906676273446</c:v>
                </c:pt>
                <c:pt idx="555">
                  <c:v>80.807754033354072</c:v>
                </c:pt>
                <c:pt idx="556">
                  <c:v>80.712843856094651</c:v>
                </c:pt>
                <c:pt idx="557">
                  <c:v>80.519312732352518</c:v>
                </c:pt>
                <c:pt idx="558">
                  <c:v>80.326756133965532</c:v>
                </c:pt>
                <c:pt idx="559">
                  <c:v>80.13076658494299</c:v>
                </c:pt>
                <c:pt idx="560">
                  <c:v>0</c:v>
                </c:pt>
                <c:pt idx="561">
                  <c:v>79.737062275585501</c:v>
                </c:pt>
                <c:pt idx="562">
                  <c:v>79.539339658330164</c:v>
                </c:pt>
                <c:pt idx="563">
                  <c:v>79.338335304130609</c:v>
                </c:pt>
                <c:pt idx="564">
                  <c:v>79.138276257143801</c:v>
                </c:pt>
                <c:pt idx="565">
                  <c:v>78.934128640007216</c:v>
                </c:pt>
                <c:pt idx="566">
                  <c:v>78.73092198800957</c:v>
                </c:pt>
                <c:pt idx="567">
                  <c:v>78.523668277822978</c:v>
                </c:pt>
                <c:pt idx="568">
                  <c:v>78.317350379654144</c:v>
                </c:pt>
                <c:pt idx="569">
                  <c:v>78.107844603315982</c:v>
                </c:pt>
                <c:pt idx="570">
                  <c:v>77.899261673302462</c:v>
                </c:pt>
                <c:pt idx="571">
                  <c:v>77.685888872450164</c:v>
                </c:pt>
                <c:pt idx="572">
                  <c:v>77.473439940619741</c:v>
                </c:pt>
                <c:pt idx="573">
                  <c:v>77.257862379810646</c:v>
                </c:pt>
                <c:pt idx="574">
                  <c:v>77.043195246302503</c:v>
                </c:pt>
                <c:pt idx="575">
                  <c:v>76.823822372845257</c:v>
                </c:pt>
                <c:pt idx="576">
                  <c:v>76.605359903420904</c:v>
                </c:pt>
                <c:pt idx="577">
                  <c:v>75.690057928201057</c:v>
                </c:pt>
                <c:pt idx="578">
                  <c:v>74.789126776271758</c:v>
                </c:pt>
                <c:pt idx="579">
                  <c:v>72.859033005497977</c:v>
                </c:pt>
                <c:pt idx="580">
                  <c:v>70.800784157937343</c:v>
                </c:pt>
                <c:pt idx="581">
                  <c:v>68.606280560931864</c:v>
                </c:pt>
                <c:pt idx="582">
                  <c:v>66.263558683496584</c:v>
                </c:pt>
                <c:pt idx="583">
                  <c:v>63.764498440193165</c:v>
                </c:pt>
                <c:pt idx="584">
                  <c:v>61.098385075674685</c:v>
                </c:pt>
                <c:pt idx="585">
                  <c:v>58.259288794522234</c:v>
                </c:pt>
                <c:pt idx="586">
                  <c:v>55.241272495877624</c:v>
                </c:pt>
                <c:pt idx="587">
                  <c:v>52.039263052437136</c:v>
                </c:pt>
                <c:pt idx="588">
                  <c:v>48.655604797497432</c:v>
                </c:pt>
                <c:pt idx="589">
                  <c:v>45.089855690895661</c:v>
                </c:pt>
                <c:pt idx="590">
                  <c:v>41.348683203357638</c:v>
                </c:pt>
                <c:pt idx="591">
                  <c:v>37.44036403427171</c:v>
                </c:pt>
                <c:pt idx="592">
                  <c:v>33.377115837501094</c:v>
                </c:pt>
                <c:pt idx="593">
                  <c:v>29.172150965042988</c:v>
                </c:pt>
                <c:pt idx="594">
                  <c:v>24.843293828121858</c:v>
                </c:pt>
                <c:pt idx="595">
                  <c:v>20.408150326010059</c:v>
                </c:pt>
                <c:pt idx="596">
                  <c:v>15.887282033157106</c:v>
                </c:pt>
                <c:pt idx="597">
                  <c:v>11.300065697149449</c:v>
                </c:pt>
                <c:pt idx="598">
                  <c:v>6.6682801351460057</c:v>
                </c:pt>
                <c:pt idx="599">
                  <c:v>2.0114665708380812</c:v>
                </c:pt>
                <c:pt idx="600">
                  <c:v>-2.6489447121717262</c:v>
                </c:pt>
              </c:numCache>
            </c:numRef>
          </c:yVal>
          <c:smooth val="0"/>
        </c:ser>
        <c:dLbls>
          <c:showLegendKey val="0"/>
          <c:showVal val="0"/>
          <c:showCatName val="0"/>
          <c:showSerName val="0"/>
          <c:showPercent val="0"/>
          <c:showBubbleSize val="0"/>
        </c:dLbls>
        <c:axId val="217982656"/>
        <c:axId val="217983232"/>
      </c:scatterChart>
      <c:valAx>
        <c:axId val="217981504"/>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28"/>
              <c:y val="0.83636363636363631"/>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7982080"/>
        <c:crossesAt val="-60"/>
        <c:crossBetween val="midCat"/>
        <c:majorUnit val="10"/>
        <c:minorUnit val="10"/>
      </c:valAx>
      <c:valAx>
        <c:axId val="217982080"/>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17981504"/>
        <c:crossesAt val="1"/>
        <c:crossBetween val="midCat"/>
        <c:majorUnit val="20"/>
        <c:minorUnit val="4"/>
      </c:valAx>
      <c:valAx>
        <c:axId val="217982656"/>
        <c:scaling>
          <c:logBase val="10"/>
          <c:orientation val="minMax"/>
        </c:scaling>
        <c:delete val="1"/>
        <c:axPos val="t"/>
        <c:numFmt formatCode="0\.000" sourceLinked="1"/>
        <c:majorTickMark val="out"/>
        <c:minorTickMark val="none"/>
        <c:tickLblPos val="nextTo"/>
        <c:crossAx val="217983232"/>
        <c:crossesAt val="0"/>
        <c:crossBetween val="midCat"/>
      </c:valAx>
      <c:valAx>
        <c:axId val="217983232"/>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03"/>
              <c:y val="0.318181818181818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1798265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1"/>
          <c:y val="3.174591306650467E-2"/>
        </c:manualLayout>
      </c:layout>
      <c:overlay val="0"/>
      <c:spPr>
        <a:noFill/>
        <a:ln w="25400">
          <a:noFill/>
        </a:ln>
      </c:spPr>
    </c:title>
    <c:autoTitleDeleted val="0"/>
    <c:plotArea>
      <c:layout>
        <c:manualLayout>
          <c:layoutTarget val="inner"/>
          <c:xMode val="edge"/>
          <c:yMode val="edge"/>
          <c:x val="0.17739130434782607"/>
          <c:y val="0.12698445504829864"/>
          <c:w val="0.73391304347826092"/>
          <c:h val="0.60846718043976433"/>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0.43514065727104384</c:v>
                </c:pt>
                <c:pt idx="1">
                  <c:v>0.59739494418264072</c:v>
                </c:pt>
                <c:pt idx="2">
                  <c:v>0.68214870395725324</c:v>
                </c:pt>
                <c:pt idx="3">
                  <c:v>0.7342002745443309</c:v>
                </c:pt>
                <c:pt idx="4">
                  <c:v>0.76939896919632633</c:v>
                </c:pt>
                <c:pt idx="5">
                  <c:v>0.794776633648138</c:v>
                </c:pt>
                <c:pt idx="6">
                  <c:v>0.81393074064546422</c:v>
                </c:pt>
                <c:pt idx="7">
                  <c:v>0.82889293582723178</c:v>
                </c:pt>
                <c:pt idx="8">
                  <c:v>0.84089735617715577</c:v>
                </c:pt>
                <c:pt idx="9">
                  <c:v>0.85073698006418252</c:v>
                </c:pt>
                <c:pt idx="10">
                  <c:v>0.85894457884369169</c:v>
                </c:pt>
                <c:pt idx="11">
                  <c:v>0.86589135513297133</c:v>
                </c:pt>
                <c:pt idx="12">
                  <c:v>0.87184387345783154</c:v>
                </c:pt>
                <c:pt idx="13">
                  <c:v>0.87699850342438179</c:v>
                </c:pt>
                <c:pt idx="14">
                  <c:v>0.88150309825087425</c:v>
                </c:pt>
                <c:pt idx="15">
                  <c:v>0.88547110660487072</c:v>
                </c:pt>
                <c:pt idx="16">
                  <c:v>0.88899102961898879</c:v>
                </c:pt>
                <c:pt idx="17">
                  <c:v>0.89213292104328423</c:v>
                </c:pt>
                <c:pt idx="18">
                  <c:v>0.89495295569934508</c:v>
                </c:pt>
                <c:pt idx="19">
                  <c:v>0.89749670436316276</c:v>
                </c:pt>
                <c:pt idx="20">
                  <c:v>0.89980152314411854</c:v>
                </c:pt>
                <c:pt idx="21">
                  <c:v>0.90189832465363573</c:v>
                </c:pt>
                <c:pt idx="22">
                  <c:v>0.90381290985887663</c:v>
                </c:pt>
                <c:pt idx="23">
                  <c:v>0.90556698270204572</c:v>
                </c:pt>
                <c:pt idx="24">
                  <c:v>0.90717893227506896</c:v>
                </c:pt>
                <c:pt idx="25">
                  <c:v>0.90866444239203914</c:v>
                </c:pt>
                <c:pt idx="26">
                  <c:v>0.91003697141921236</c:v>
                </c:pt>
                <c:pt idx="27">
                  <c:v>0.91130813347589334</c:v>
                </c:pt>
                <c:pt idx="28">
                  <c:v>0.9124880038748624</c:v>
                </c:pt>
                <c:pt idx="29">
                  <c:v>0.9135853658053541</c:v>
                </c:pt>
                <c:pt idx="30">
                  <c:v>0.91460791103592931</c:v>
                </c:pt>
                <c:pt idx="31">
                  <c:v>0.9155624043347742</c:v>
                </c:pt>
                <c:pt idx="32">
                  <c:v>0.91645481903586123</c:v>
                </c:pt>
                <c:pt idx="33">
                  <c:v>0.91729044949065264</c:v>
                </c:pt>
                <c:pt idx="34">
                  <c:v>0.91807400487622826</c:v>
                </c:pt>
                <c:pt idx="35">
                  <c:v>0.91880968786898742</c:v>
                </c:pt>
                <c:pt idx="36">
                  <c:v>0.91950126095797524</c:v>
                </c:pt>
                <c:pt idx="37">
                  <c:v>0.92015210260561187</c:v>
                </c:pt>
                <c:pt idx="38">
                  <c:v>0.92076525502412854</c:v>
                </c:pt>
                <c:pt idx="39">
                  <c:v>0.92134346499257425</c:v>
                </c:pt>
                <c:pt idx="40">
                  <c:v>0.92188921886907749</c:v>
                </c:pt>
                <c:pt idx="41">
                  <c:v>0.92240477273916133</c:v>
                </c:pt>
                <c:pt idx="42">
                  <c:v>0.92289217847059946</c:v>
                </c:pt>
                <c:pt idx="43">
                  <c:v>0.92335330630889279</c:v>
                </c:pt>
                <c:pt idx="44">
                  <c:v>0.92378986453763257</c:v>
                </c:pt>
                <c:pt idx="45">
                  <c:v>0.9242034166391323</c:v>
                </c:pt>
                <c:pt idx="46">
                  <c:v>0.92459539631843612</c:v>
                </c:pt>
                <c:pt idx="47">
                  <c:v>0.92496712069475806</c:v>
                </c:pt>
                <c:pt idx="48">
                  <c:v>0.92531980191593888</c:v>
                </c:pt>
                <c:pt idx="49">
                  <c:v>0.92565455741156755</c:v>
                </c:pt>
                <c:pt idx="50">
                  <c:v>0.9259724189673566</c:v>
                </c:pt>
                <c:pt idx="51">
                  <c:v>0.9262743407758971</c:v>
                </c:pt>
                <c:pt idx="52">
                  <c:v>0.92656120659602303</c:v>
                </c:pt>
                <c:pt idx="53">
                  <c:v>0.92683383613384063</c:v>
                </c:pt>
                <c:pt idx="54">
                  <c:v>0.9270929907423886</c:v>
                </c:pt>
                <c:pt idx="55">
                  <c:v>0.92733937852332571</c:v>
                </c:pt>
                <c:pt idx="56">
                  <c:v>0.92757365890258137</c:v>
                </c:pt>
                <c:pt idx="57">
                  <c:v>0.92779644674217965</c:v>
                </c:pt>
                <c:pt idx="58">
                  <c:v>0.92800831604217682</c:v>
                </c:pt>
                <c:pt idx="59">
                  <c:v>0.92820980327960612</c:v>
                </c:pt>
                <c:pt idx="60">
                  <c:v>0.9284014104252849</c:v>
                </c:pt>
                <c:pt idx="61">
                  <c:v>0.9285836076741707</c:v>
                </c:pt>
                <c:pt idx="62">
                  <c:v>0.92875683592050395</c:v>
                </c:pt>
                <c:pt idx="63">
                  <c:v>0.92892150900514181</c:v>
                </c:pt>
                <c:pt idx="64">
                  <c:v>0.92907801575917548</c:v>
                </c:pt>
                <c:pt idx="65">
                  <c:v>0.9292267218650534</c:v>
                </c:pt>
                <c:pt idx="66">
                  <c:v>0.92936797155394701</c:v>
                </c:pt>
                <c:pt idx="67">
                  <c:v>0.92950208915592258</c:v>
                </c:pt>
                <c:pt idx="68">
                  <c:v>0.92962938051760269</c:v>
                </c:pt>
                <c:pt idx="69">
                  <c:v>0.92975013430034359</c:v>
                </c:pt>
                <c:pt idx="70">
                  <c:v>0.92986462317051644</c:v>
                </c:pt>
                <c:pt idx="71">
                  <c:v>0.9299731048922113</c:v>
                </c:pt>
                <c:pt idx="72">
                  <c:v>0.9300758233315698</c:v>
                </c:pt>
                <c:pt idx="73">
                  <c:v>0.93017300938097436</c:v>
                </c:pt>
                <c:pt idx="74">
                  <c:v>0.93026488181045763</c:v>
                </c:pt>
                <c:pt idx="75">
                  <c:v>0.93035164805293069</c:v>
                </c:pt>
                <c:pt idx="76">
                  <c:v>0.93043350492915655</c:v>
                </c:pt>
                <c:pt idx="77">
                  <c:v>0.93051063931779332</c:v>
                </c:pt>
                <c:pt idx="78">
                  <c:v>0.93058322877530519</c:v>
                </c:pt>
                <c:pt idx="79">
                  <c:v>0.93065144211005968</c:v>
                </c:pt>
                <c:pt idx="80">
                  <c:v>0.93071543991451555</c:v>
                </c:pt>
                <c:pt idx="81">
                  <c:v>0.93077537505902719</c:v>
                </c:pt>
                <c:pt idx="82">
                  <c:v>0.93083139315045671</c:v>
                </c:pt>
                <c:pt idx="83">
                  <c:v>0.93088363295848564</c:v>
                </c:pt>
                <c:pt idx="84">
                  <c:v>0.93093222681224974</c:v>
                </c:pt>
                <c:pt idx="85">
                  <c:v>0.93097730096967868</c:v>
                </c:pt>
                <c:pt idx="86">
                  <c:v>0.93101897596170879</c:v>
                </c:pt>
                <c:pt idx="87">
                  <c:v>0.93105736691333851</c:v>
                </c:pt>
                <c:pt idx="88">
                  <c:v>0.93109258384332583</c:v>
                </c:pt>
                <c:pt idx="89">
                  <c:v>0.93112473194416745</c:v>
                </c:pt>
                <c:pt idx="90">
                  <c:v>0.93115391184385499</c:v>
                </c:pt>
                <c:pt idx="91">
                  <c:v>0.93118021985077748</c:v>
                </c:pt>
                <c:pt idx="92">
                  <c:v>0.93120374818302587</c:v>
                </c:pt>
                <c:pt idx="93">
                  <c:v>0.93122458518324136</c:v>
                </c:pt>
                <c:pt idx="94">
                  <c:v>0.93124281552006383</c:v>
                </c:pt>
                <c:pt idx="95">
                  <c:v>0.93125852037714296</c:v>
                </c:pt>
                <c:pt idx="96">
                  <c:v>0.93127177763060009</c:v>
                </c:pt>
                <c:pt idx="97">
                  <c:v>0.93128266201575605</c:v>
                </c:pt>
                <c:pt idx="98">
                  <c:v>0.9312912452838723</c:v>
                </c:pt>
                <c:pt idx="99">
                  <c:v>0.93129759634960119</c:v>
                </c:pt>
                <c:pt idx="100">
                  <c:v>0.93130178142977549</c:v>
                </c:pt>
                <c:pt idx="101">
                  <c:v>0.93130386417413047</c:v>
                </c:pt>
                <c:pt idx="102">
                  <c:v>0.9313039057884972</c:v>
                </c:pt>
                <c:pt idx="103">
                  <c:v>0.93130196515096864</c:v>
                </c:pt>
                <c:pt idx="104">
                  <c:v>0.93129809892150273</c:v>
                </c:pt>
                <c:pt idx="105">
                  <c:v>0.93129236164538931</c:v>
                </c:pt>
                <c:pt idx="106">
                  <c:v>0.93128480585098061</c:v>
                </c:pt>
                <c:pt idx="107">
                  <c:v>0.93127548214204969</c:v>
                </c:pt>
                <c:pt idx="108">
                  <c:v>0.9312644392851217</c:v>
                </c:pt>
                <c:pt idx="109">
                  <c:v>0.93125172429209002</c:v>
                </c:pt>
                <c:pt idx="110">
                  <c:v>0.93123738249841737</c:v>
                </c:pt>
                <c:pt idx="111">
                  <c:v>0.931221457637188</c:v>
                </c:pt>
                <c:pt idx="112">
                  <c:v>0.93120399190927239</c:v>
                </c:pt>
                <c:pt idx="113">
                  <c:v>0.93118502604983411</c:v>
                </c:pt>
                <c:pt idx="114">
                  <c:v>0.93116459939140483</c:v>
                </c:pt>
                <c:pt idx="115">
                  <c:v>0.93114274992372803</c:v>
                </c:pt>
                <c:pt idx="116">
                  <c:v>0.93111951435056584</c:v>
                </c:pt>
                <c:pt idx="117">
                  <c:v>0.93109492814364592</c:v>
                </c:pt>
                <c:pt idx="118">
                  <c:v>0.93106902559391502</c:v>
                </c:pt>
                <c:pt idx="119">
                  <c:v>0.93104183986025557</c:v>
                </c:pt>
                <c:pt idx="120">
                  <c:v>0.93101340301580982</c:v>
                </c:pt>
                <c:pt idx="121">
                  <c:v>0.93098374609204682</c:v>
                </c:pt>
                <c:pt idx="122">
                  <c:v>0.93095289912070256</c:v>
                </c:pt>
                <c:pt idx="123">
                  <c:v>0.93092089117370791</c:v>
                </c:pt>
                <c:pt idx="124">
                  <c:v>0.93088775040121929</c:v>
                </c:pt>
                <c:pt idx="125">
                  <c:v>0.93085350406785428</c:v>
                </c:pt>
                <c:pt idx="126">
                  <c:v>0.93081817858723304</c:v>
                </c:pt>
                <c:pt idx="127">
                  <c:v>0.93078179955491303</c:v>
                </c:pt>
                <c:pt idx="128">
                  <c:v>0.93074439177980828</c:v>
                </c:pt>
                <c:pt idx="129">
                  <c:v>0.9307059793141701</c:v>
                </c:pt>
                <c:pt idx="130">
                  <c:v>0.93066658548220715</c:v>
                </c:pt>
                <c:pt idx="131">
                  <c:v>0.93062623290741731</c:v>
                </c:pt>
                <c:pt idx="132">
                  <c:v>0.93058494353869636</c:v>
                </c:pt>
                <c:pt idx="133">
                  <c:v>0.93054273867528781</c:v>
                </c:pt>
                <c:pt idx="134">
                  <c:v>0.93049963899063493</c:v>
                </c:pt>
                <c:pt idx="135">
                  <c:v>0.93045566455518791</c:v>
                </c:pt>
                <c:pt idx="136">
                  <c:v>0.93041083485822185</c:v>
                </c:pt>
                <c:pt idx="137">
                  <c:v>0.93036516882871378</c:v>
                </c:pt>
                <c:pt idx="138">
                  <c:v>0.93031868485532676</c:v>
                </c:pt>
                <c:pt idx="139">
                  <c:v>0.93027140080554327</c:v>
                </c:pt>
                <c:pt idx="140">
                  <c:v>0.9302233340439936</c:v>
                </c:pt>
                <c:pt idx="141">
                  <c:v>0.93017450145001368</c:v>
                </c:pt>
                <c:pt idx="142">
                  <c:v>0.93012491943447417</c:v>
                </c:pt>
                <c:pt idx="143">
                  <c:v>0.93007460395591346</c:v>
                </c:pt>
                <c:pt idx="144">
                  <c:v>0.93002357053600804</c:v>
                </c:pt>
                <c:pt idx="145">
                  <c:v>0.92997183427441332</c:v>
                </c:pt>
                <c:pt idx="146">
                  <c:v>0.92991940986300159</c:v>
                </c:pt>
                <c:pt idx="147">
                  <c:v>0.92986631159953093</c:v>
                </c:pt>
                <c:pt idx="148">
                  <c:v>0.92981255340076374</c:v>
                </c:pt>
                <c:pt idx="149">
                  <c:v>0.92975814881506791</c:v>
                </c:pt>
                <c:pt idx="150">
                  <c:v>0.92970311103451941</c:v>
                </c:pt>
                <c:pt idx="151">
                  <c:v>0.92964745290653239</c:v>
                </c:pt>
                <c:pt idx="152">
                  <c:v>0.92959118694503506</c:v>
                </c:pt>
                <c:pt idx="153">
                  <c:v>0.92953432534121383</c:v>
                </c:pt>
                <c:pt idx="154">
                  <c:v>0.92947687997384654</c:v>
                </c:pt>
                <c:pt idx="155">
                  <c:v>0.92941886241923866</c:v>
                </c:pt>
                <c:pt idx="156">
                  <c:v>0.92936028396078441</c:v>
                </c:pt>
                <c:pt idx="157">
                  <c:v>0.92930115559816617</c:v>
                </c:pt>
                <c:pt idx="158">
                  <c:v>0.92924148805621132</c:v>
                </c:pt>
                <c:pt idx="159">
                  <c:v>0.9291812917934168</c:v>
                </c:pt>
                <c:pt idx="160">
                  <c:v>0.92912057701016093</c:v>
                </c:pt>
                <c:pt idx="161">
                  <c:v>0.92905935365661096</c:v>
                </c:pt>
                <c:pt idx="162">
                  <c:v>0.92899763144034342</c:v>
                </c:pt>
                <c:pt idx="163">
                  <c:v>0.92893541983368644</c:v>
                </c:pt>
                <c:pt idx="164">
                  <c:v>0.92887272808079857</c:v>
                </c:pt>
                <c:pt idx="165">
                  <c:v>0.92880956520449121</c:v>
                </c:pt>
                <c:pt idx="166">
                  <c:v>0.92874594001280986</c:v>
                </c:pt>
                <c:pt idx="167">
                  <c:v>0.92868186110538065</c:v>
                </c:pt>
                <c:pt idx="168">
                  <c:v>0.92861733687953452</c:v>
                </c:pt>
                <c:pt idx="169">
                  <c:v>0.92855237553621428</c:v>
                </c:pt>
                <c:pt idx="170">
                  <c:v>0.9284869850856784</c:v>
                </c:pt>
                <c:pt idx="171">
                  <c:v>0.92842117335300633</c:v>
                </c:pt>
                <c:pt idx="172">
                  <c:v>0.92835494798341323</c:v>
                </c:pt>
                <c:pt idx="173">
                  <c:v>0.92828831644738408</c:v>
                </c:pt>
                <c:pt idx="174">
                  <c:v>0.92822128604563237</c:v>
                </c:pt>
                <c:pt idx="175">
                  <c:v>0.92815386391389021</c:v>
                </c:pt>
                <c:pt idx="176">
                  <c:v>0.92808605702753844</c:v>
                </c:pt>
                <c:pt idx="177">
                  <c:v>0.92801787220608123</c:v>
                </c:pt>
                <c:pt idx="178">
                  <c:v>0.92794931611747034</c:v>
                </c:pt>
                <c:pt idx="179">
                  <c:v>0.92788039528228894</c:v>
                </c:pt>
                <c:pt idx="180">
                  <c:v>0.92781111607779487</c:v>
                </c:pt>
                <c:pt idx="181">
                  <c:v>0.92774148474183327</c:v>
                </c:pt>
                <c:pt idx="182">
                  <c:v>0.92767150737662085</c:v>
                </c:pt>
                <c:pt idx="183">
                  <c:v>0.92760118995240792</c:v>
                </c:pt>
                <c:pt idx="184">
                  <c:v>0.92753053831102239</c:v>
                </c:pt>
                <c:pt idx="185">
                  <c:v>0.92745955816930048</c:v>
                </c:pt>
                <c:pt idx="186">
                  <c:v>0.92738825512240675</c:v>
                </c:pt>
                <c:pt idx="187">
                  <c:v>0.92731663464705083</c:v>
                </c:pt>
                <c:pt idx="188">
                  <c:v>0.92724470210460086</c:v>
                </c:pt>
                <c:pt idx="189">
                  <c:v>0.9271724627441007</c:v>
                </c:pt>
                <c:pt idx="190">
                  <c:v>0.92709992170519162</c:v>
                </c:pt>
                <c:pt idx="191">
                  <c:v>0.92702708402094391</c:v>
                </c:pt>
                <c:pt idx="192">
                  <c:v>0.92695395462060148</c:v>
                </c:pt>
                <c:pt idx="193">
                  <c:v>0.92688053833224082</c:v>
                </c:pt>
                <c:pt idx="194">
                  <c:v>0.92680683988535018</c:v>
                </c:pt>
                <c:pt idx="195">
                  <c:v>0.92673286391332876</c:v>
                </c:pt>
                <c:pt idx="196">
                  <c:v>0.92665861495591151</c:v>
                </c:pt>
                <c:pt idx="197">
                  <c:v>0.92658409746152015</c:v>
                </c:pt>
                <c:pt idx="198">
                  <c:v>0.92650931578954354</c:v>
                </c:pt>
                <c:pt idx="199">
                  <c:v>0.92643427421255098</c:v>
                </c:pt>
                <c:pt idx="200">
                  <c:v>0.92635897691843938</c:v>
                </c:pt>
                <c:pt idx="201">
                  <c:v>0.92628342801251584</c:v>
                </c:pt>
                <c:pt idx="202">
                  <c:v>0.92620763151952146</c:v>
                </c:pt>
                <c:pt idx="203">
                  <c:v>0.92613159138559376</c:v>
                </c:pt>
                <c:pt idx="204">
                  <c:v>0.92605531148017328</c:v>
                </c:pt>
                <c:pt idx="205">
                  <c:v>0.92597879559785434</c:v>
                </c:pt>
                <c:pt idx="206">
                  <c:v>0.92590204746018268</c:v>
                </c:pt>
                <c:pt idx="207">
                  <c:v>0.92582507071740139</c:v>
                </c:pt>
                <c:pt idx="208">
                  <c:v>0.9257478689501476</c:v>
                </c:pt>
                <c:pt idx="209">
                  <c:v>0.92567044567109991</c:v>
                </c:pt>
                <c:pt idx="210">
                  <c:v>0.9255928043265802</c:v>
                </c:pt>
                <c:pt idx="211">
                  <c:v>0.92551494829811021</c:v>
                </c:pt>
                <c:pt idx="212">
                  <c:v>0.92543688090392373</c:v>
                </c:pt>
                <c:pt idx="213">
                  <c:v>0.92535860540043713</c:v>
                </c:pt>
                <c:pt idx="214">
                  <c:v>0.92528012498368029</c:v>
                </c:pt>
                <c:pt idx="215">
                  <c:v>0.92520144279068506</c:v>
                </c:pt>
                <c:pt idx="216">
                  <c:v>0.92512256190083919</c:v>
                </c:pt>
                <c:pt idx="217">
                  <c:v>0.92504348533719971</c:v>
                </c:pt>
                <c:pt idx="218">
                  <c:v>0.92496421606777313</c:v>
                </c:pt>
                <c:pt idx="219">
                  <c:v>0.92488475700675976</c:v>
                </c:pt>
                <c:pt idx="220">
                  <c:v>0.92480511101576457</c:v>
                </c:pt>
                <c:pt idx="221">
                  <c:v>0.92472528090497519</c:v>
                </c:pt>
                <c:pt idx="222">
                  <c:v>0.92464526943430903</c:v>
                </c:pt>
                <c:pt idx="223">
                  <c:v>0.9245650793145298</c:v>
                </c:pt>
                <c:pt idx="224">
                  <c:v>0.92448471320833348</c:v>
                </c:pt>
                <c:pt idx="225">
                  <c:v>0.92440417373140682</c:v>
                </c:pt>
                <c:pt idx="226">
                  <c:v>0.92432346345345695</c:v>
                </c:pt>
                <c:pt idx="227">
                  <c:v>0.92424258489921518</c:v>
                </c:pt>
                <c:pt idx="228">
                  <c:v>0.92416154054941357</c:v>
                </c:pt>
                <c:pt idx="229">
                  <c:v>0.92408033284173663</c:v>
                </c:pt>
                <c:pt idx="230">
                  <c:v>0.9239989641717482</c:v>
                </c:pt>
                <c:pt idx="231">
                  <c:v>0.92391743689379535</c:v>
                </c:pt>
                <c:pt idx="232">
                  <c:v>0.92383575332188761</c:v>
                </c:pt>
                <c:pt idx="233">
                  <c:v>0.9237539157305551</c:v>
                </c:pt>
                <c:pt idx="234">
                  <c:v>0.92367192635568396</c:v>
                </c:pt>
                <c:pt idx="235">
                  <c:v>0.92358978739533137</c:v>
                </c:pt>
                <c:pt idx="236">
                  <c:v>0.92350750101052004</c:v>
                </c:pt>
                <c:pt idx="237">
                  <c:v>0.92342506932601143</c:v>
                </c:pt>
                <c:pt idx="238">
                  <c:v>0.92334249443106153</c:v>
                </c:pt>
                <c:pt idx="239">
                  <c:v>0.92325977838015671</c:v>
                </c:pt>
                <c:pt idx="240">
                  <c:v>0.92317692319373124</c:v>
                </c:pt>
                <c:pt idx="241">
                  <c:v>0.92309393085886837</c:v>
                </c:pt>
                <c:pt idx="242">
                  <c:v>0.92301080332998253</c:v>
                </c:pt>
                <c:pt idx="243">
                  <c:v>0.9229275425294855</c:v>
                </c:pt>
                <c:pt idx="244">
                  <c:v>0.92284415034843692</c:v>
                </c:pt>
                <c:pt idx="245">
                  <c:v>0.92276062864717856</c:v>
                </c:pt>
                <c:pt idx="246">
                  <c:v>0.9226769792559526</c:v>
                </c:pt>
                <c:pt idx="247">
                  <c:v>0.92259320397550637</c:v>
                </c:pt>
                <c:pt idx="248">
                  <c:v>0.92250930457768121</c:v>
                </c:pt>
                <c:pt idx="249">
                  <c:v>0.92242528280598846</c:v>
                </c:pt>
                <c:pt idx="250">
                  <c:v>0.92234114037617099</c:v>
                </c:pt>
                <c:pt idx="251">
                  <c:v>0.92225687897675135</c:v>
                </c:pt>
                <c:pt idx="252">
                  <c:v>0.92217250026956787</c:v>
                </c:pt>
                <c:pt idx="253">
                  <c:v>0.92208800589029705</c:v>
                </c:pt>
                <c:pt idx="254">
                  <c:v>0.9220033974489642</c:v>
                </c:pt>
                <c:pt idx="255">
                  <c:v>0.9219186765304429</c:v>
                </c:pt>
                <c:pt idx="256">
                  <c:v>0.92183384469494112</c:v>
                </c:pt>
                <c:pt idx="257">
                  <c:v>0.92174890347847782</c:v>
                </c:pt>
                <c:pt idx="258">
                  <c:v>0.92166385439334719</c:v>
                </c:pt>
                <c:pt idx="259">
                  <c:v>0.92157869892857414</c:v>
                </c:pt>
                <c:pt idx="260">
                  <c:v>0.92149343855035637</c:v>
                </c:pt>
                <c:pt idx="261">
                  <c:v>0.92140807470249964</c:v>
                </c:pt>
                <c:pt idx="262">
                  <c:v>0.92132260880684058</c:v>
                </c:pt>
                <c:pt idx="263">
                  <c:v>0.92123704226366177</c:v>
                </c:pt>
                <c:pt idx="264">
                  <c:v>0.92115137645209555</c:v>
                </c:pt>
                <c:pt idx="265">
                  <c:v>0.92106561273052134</c:v>
                </c:pt>
                <c:pt idx="266">
                  <c:v>0.92097975243695129</c:v>
                </c:pt>
                <c:pt idx="267">
                  <c:v>0.92089379688940931</c:v>
                </c:pt>
                <c:pt idx="268">
                  <c:v>0.92080774738630111</c:v>
                </c:pt>
                <c:pt idx="269">
                  <c:v>0.92072160520677571</c:v>
                </c:pt>
                <c:pt idx="270">
                  <c:v>0.92063537161107878</c:v>
                </c:pt>
                <c:pt idx="271">
                  <c:v>0.92054904784089975</c:v>
                </c:pt>
                <c:pt idx="272">
                  <c:v>0.92046263511970949</c:v>
                </c:pt>
                <c:pt idx="273">
                  <c:v>0.92037613465309143</c:v>
                </c:pt>
                <c:pt idx="274">
                  <c:v>0.92028954762906567</c:v>
                </c:pt>
                <c:pt idx="275">
                  <c:v>0.92020287521840582</c:v>
                </c:pt>
                <c:pt idx="276">
                  <c:v>0.92011611857494879</c:v>
                </c:pt>
                <c:pt idx="277">
                  <c:v>0.92002927883589847</c:v>
                </c:pt>
                <c:pt idx="278">
                  <c:v>0.91994235712212213</c:v>
                </c:pt>
                <c:pt idx="279">
                  <c:v>0.91985535453844203</c:v>
                </c:pt>
                <c:pt idx="280">
                  <c:v>0.91976827217391854</c:v>
                </c:pt>
                <c:pt idx="281">
                  <c:v>0.91968111110212891</c:v>
                </c:pt>
                <c:pt idx="282">
                  <c:v>0.91959387238144008</c:v>
                </c:pt>
                <c:pt idx="283">
                  <c:v>0.91950655705527462</c:v>
                </c:pt>
                <c:pt idx="284">
                  <c:v>0.9194191661523734</c:v>
                </c:pt>
                <c:pt idx="285">
                  <c:v>0.91933170068704939</c:v>
                </c:pt>
                <c:pt idx="286">
                  <c:v>0.91924416165943912</c:v>
                </c:pt>
                <c:pt idx="287">
                  <c:v>0.91915655005574759</c:v>
                </c:pt>
                <c:pt idx="288">
                  <c:v>0.91906886684848832</c:v>
                </c:pt>
                <c:pt idx="289">
                  <c:v>0.91898111299671881</c:v>
                </c:pt>
                <c:pt idx="290">
                  <c:v>0.91889328944627058</c:v>
                </c:pt>
                <c:pt idx="291">
                  <c:v>0.91880539712997467</c:v>
                </c:pt>
                <c:pt idx="292">
                  <c:v>0.91871743696788255</c:v>
                </c:pt>
                <c:pt idx="293">
                  <c:v>0.91862940986748343</c:v>
                </c:pt>
                <c:pt idx="294">
                  <c:v>0.91854131672391526</c:v>
                </c:pt>
                <c:pt idx="295">
                  <c:v>0.91845315842017361</c:v>
                </c:pt>
                <c:pt idx="296">
                  <c:v>0.91836493582731449</c:v>
                </c:pt>
                <c:pt idx="297">
                  <c:v>0.9182766498046544</c:v>
                </c:pt>
                <c:pt idx="298">
                  <c:v>0.91818830119996586</c:v>
                </c:pt>
                <c:pt idx="299">
                  <c:v>0.91809989084966903</c:v>
                </c:pt>
              </c:numCache>
            </c:numRef>
          </c:yVal>
          <c:smooth val="1"/>
        </c:ser>
        <c:dLbls>
          <c:showLegendKey val="0"/>
          <c:showVal val="0"/>
          <c:showCatName val="0"/>
          <c:showSerName val="0"/>
          <c:showPercent val="0"/>
          <c:showBubbleSize val="0"/>
        </c:dLbls>
        <c:axId val="217985536"/>
        <c:axId val="217986112"/>
      </c:scatterChart>
      <c:valAx>
        <c:axId val="217985536"/>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17986112"/>
        <c:crosses val="autoZero"/>
        <c:crossBetween val="midCat"/>
        <c:majorUnit val="0.5"/>
      </c:valAx>
      <c:valAx>
        <c:axId val="217986112"/>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179855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54" t="s">
        <v>195</v>
      </c>
      <c r="D1" s="254"/>
      <c r="E1" s="254"/>
      <c r="F1" s="254"/>
      <c r="G1" s="254"/>
      <c r="H1" s="254"/>
      <c r="I1" s="234" t="s">
        <v>225</v>
      </c>
      <c r="J1" s="211"/>
      <c r="K1" s="211"/>
      <c r="L1" s="211"/>
      <c r="M1" s="211"/>
    </row>
    <row r="2" spans="1:13">
      <c r="A2" s="211"/>
      <c r="B2" s="211"/>
      <c r="C2" s="211"/>
      <c r="D2" s="211"/>
      <c r="E2" s="211"/>
      <c r="F2" s="211"/>
      <c r="G2" s="211"/>
      <c r="H2" s="211"/>
      <c r="I2" s="211"/>
      <c r="J2" s="211"/>
      <c r="K2" s="211"/>
      <c r="L2" s="211"/>
      <c r="M2" s="211"/>
    </row>
    <row r="3" spans="1:13">
      <c r="A3" s="246" t="s">
        <v>239</v>
      </c>
      <c r="B3" s="249"/>
      <c r="C3" s="249"/>
      <c r="D3" s="249"/>
      <c r="E3" s="249"/>
      <c r="F3" s="249"/>
      <c r="G3" s="249"/>
      <c r="H3" s="249"/>
      <c r="I3" s="249"/>
      <c r="J3" s="247"/>
      <c r="K3" s="247"/>
      <c r="L3" s="247"/>
      <c r="M3" s="247"/>
    </row>
    <row r="4" spans="1:13">
      <c r="A4" s="247"/>
      <c r="B4" s="247"/>
      <c r="C4" s="247"/>
      <c r="D4" s="247"/>
      <c r="E4" s="247"/>
      <c r="F4" s="247"/>
      <c r="G4" s="247"/>
      <c r="H4" s="247"/>
      <c r="I4" s="247"/>
      <c r="J4" s="247"/>
      <c r="K4" s="247"/>
      <c r="L4" s="247"/>
      <c r="M4" s="247"/>
    </row>
    <row r="5" spans="1:13" ht="8.25" customHeight="1">
      <c r="A5" s="247"/>
      <c r="B5" s="247"/>
      <c r="C5" s="247"/>
      <c r="D5" s="247"/>
      <c r="E5" s="247"/>
      <c r="F5" s="247"/>
      <c r="G5" s="247"/>
      <c r="H5" s="247"/>
      <c r="I5" s="247"/>
      <c r="J5" s="247"/>
      <c r="K5" s="247"/>
      <c r="L5" s="247"/>
      <c r="M5" s="247"/>
    </row>
    <row r="6" spans="1:13" ht="26.25" customHeight="1">
      <c r="A6" s="250" t="s">
        <v>221</v>
      </c>
      <c r="B6" s="250"/>
      <c r="C6" s="250"/>
      <c r="D6" s="250"/>
      <c r="E6" s="250"/>
      <c r="F6" s="250"/>
      <c r="G6" s="250"/>
      <c r="H6" s="250"/>
      <c r="I6" s="251"/>
      <c r="J6" s="251"/>
      <c r="K6" s="251"/>
      <c r="L6" s="251"/>
      <c r="M6" s="251"/>
    </row>
    <row r="7" spans="1:13" ht="19.5" customHeight="1">
      <c r="A7" s="246" t="s">
        <v>203</v>
      </c>
      <c r="B7" s="247"/>
      <c r="C7" s="247"/>
      <c r="D7" s="247"/>
      <c r="E7" s="247"/>
      <c r="F7" s="247"/>
      <c r="G7" s="247"/>
      <c r="H7" s="247"/>
      <c r="I7" s="247"/>
      <c r="J7" s="247"/>
      <c r="K7" s="247"/>
      <c r="L7" s="247"/>
      <c r="M7" s="247"/>
    </row>
    <row r="8" spans="1:13" ht="19.5" customHeight="1">
      <c r="A8" s="247"/>
      <c r="B8" s="247"/>
      <c r="C8" s="247"/>
      <c r="D8" s="247"/>
      <c r="E8" s="247"/>
      <c r="F8" s="247"/>
      <c r="G8" s="247"/>
      <c r="H8" s="247"/>
      <c r="I8" s="247"/>
      <c r="J8" s="247"/>
      <c r="K8" s="247"/>
      <c r="L8" s="247"/>
      <c r="M8" s="247"/>
    </row>
    <row r="9" spans="1:13" ht="15">
      <c r="A9" s="256" t="s">
        <v>189</v>
      </c>
      <c r="B9" s="256"/>
      <c r="C9" s="256"/>
      <c r="D9" s="255" t="s">
        <v>190</v>
      </c>
      <c r="E9" s="255"/>
      <c r="F9" s="253" t="s">
        <v>196</v>
      </c>
      <c r="G9" s="253"/>
      <c r="H9" s="253"/>
      <c r="I9" s="253"/>
      <c r="J9" s="253"/>
      <c r="K9" s="247"/>
      <c r="L9" s="211"/>
      <c r="M9" s="211"/>
    </row>
    <row r="10" spans="1:13" ht="15">
      <c r="A10" s="211"/>
      <c r="B10" s="211"/>
      <c r="C10" s="211"/>
      <c r="D10" s="255" t="s">
        <v>191</v>
      </c>
      <c r="E10" s="255"/>
      <c r="F10" s="252" t="s">
        <v>192</v>
      </c>
      <c r="G10" s="252"/>
      <c r="H10" s="252"/>
      <c r="I10" s="252"/>
      <c r="J10" s="247"/>
      <c r="K10" s="247"/>
      <c r="L10" s="211"/>
      <c r="M10" s="211"/>
    </row>
    <row r="11" spans="1:13" ht="15">
      <c r="A11" s="211"/>
      <c r="B11" s="211"/>
      <c r="C11" s="211"/>
      <c r="D11" s="255" t="s">
        <v>193</v>
      </c>
      <c r="E11" s="255"/>
      <c r="F11" s="257" t="s">
        <v>194</v>
      </c>
      <c r="G11" s="247"/>
      <c r="H11" s="247"/>
      <c r="I11" s="247"/>
      <c r="J11" s="247"/>
      <c r="K11" s="247"/>
      <c r="L11" s="211"/>
      <c r="M11" s="211"/>
    </row>
    <row r="12" spans="1:13" ht="15">
      <c r="A12" s="211"/>
      <c r="B12" s="211"/>
      <c r="C12" s="211"/>
      <c r="D12" s="255" t="s">
        <v>197</v>
      </c>
      <c r="E12" s="255"/>
      <c r="F12" s="252" t="s">
        <v>198</v>
      </c>
      <c r="G12" s="252"/>
      <c r="H12" s="252"/>
      <c r="I12" s="252"/>
      <c r="J12" s="247"/>
      <c r="K12" s="247"/>
      <c r="L12" s="211"/>
      <c r="M12" s="211"/>
    </row>
    <row r="13" spans="1:13" ht="15">
      <c r="A13" s="211"/>
      <c r="B13" s="211"/>
      <c r="C13" s="211"/>
      <c r="D13" s="255" t="s">
        <v>200</v>
      </c>
      <c r="E13" s="255"/>
      <c r="F13" s="252" t="s">
        <v>199</v>
      </c>
      <c r="G13" s="252"/>
      <c r="H13" s="252"/>
      <c r="I13" s="252"/>
      <c r="J13" s="247"/>
      <c r="K13" s="247"/>
      <c r="L13" s="211"/>
      <c r="M13" s="211"/>
    </row>
    <row r="14" spans="1:13" ht="15">
      <c r="A14" s="211"/>
      <c r="B14" s="211"/>
      <c r="C14" s="211"/>
      <c r="D14" s="255" t="s">
        <v>201</v>
      </c>
      <c r="E14" s="255"/>
      <c r="F14" s="253" t="s">
        <v>202</v>
      </c>
      <c r="G14" s="253"/>
      <c r="H14" s="253"/>
      <c r="I14" s="253"/>
      <c r="J14" s="247"/>
      <c r="K14" s="247"/>
      <c r="L14" s="211"/>
      <c r="M14" s="211"/>
    </row>
    <row r="15" spans="1:13">
      <c r="A15" s="248"/>
      <c r="B15" s="248"/>
      <c r="C15" s="248"/>
      <c r="D15" s="248"/>
      <c r="E15" s="248"/>
      <c r="F15" s="248"/>
      <c r="G15" s="248"/>
      <c r="H15" s="248"/>
      <c r="I15" s="248"/>
      <c r="J15" s="248"/>
      <c r="K15" s="211"/>
      <c r="L15" s="211"/>
      <c r="M15" s="211"/>
    </row>
    <row r="16" spans="1:13">
      <c r="A16" s="246" t="s">
        <v>204</v>
      </c>
      <c r="B16" s="247"/>
      <c r="C16" s="247"/>
      <c r="D16" s="247"/>
      <c r="E16" s="247"/>
      <c r="F16" s="247"/>
      <c r="G16" s="247"/>
      <c r="H16" s="247"/>
      <c r="I16" s="247"/>
      <c r="J16" s="247"/>
      <c r="K16" s="247"/>
      <c r="L16" s="247"/>
      <c r="M16" s="247"/>
    </row>
    <row r="17" spans="1:13">
      <c r="A17" s="247"/>
      <c r="B17" s="247"/>
      <c r="C17" s="247"/>
      <c r="D17" s="247"/>
      <c r="E17" s="247"/>
      <c r="F17" s="247"/>
      <c r="G17" s="247"/>
      <c r="H17" s="247"/>
      <c r="I17" s="247"/>
      <c r="J17" s="247"/>
      <c r="K17" s="247"/>
      <c r="L17" s="247"/>
      <c r="M17" s="247"/>
    </row>
    <row r="18" spans="1:13">
      <c r="A18" s="247"/>
      <c r="B18" s="247"/>
      <c r="C18" s="247"/>
      <c r="D18" s="247"/>
      <c r="E18" s="247"/>
      <c r="F18" s="247"/>
      <c r="G18" s="247"/>
      <c r="H18" s="247"/>
      <c r="I18" s="247"/>
      <c r="J18" s="247"/>
      <c r="K18" s="247"/>
      <c r="L18" s="247"/>
      <c r="M18" s="247"/>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C1:H1"/>
    <mergeCell ref="D14:E14"/>
    <mergeCell ref="A9:C9"/>
    <mergeCell ref="D9:E9"/>
    <mergeCell ref="D10:E10"/>
    <mergeCell ref="D11:E11"/>
    <mergeCell ref="D12:E12"/>
    <mergeCell ref="D13:E13"/>
    <mergeCell ref="F11:K11"/>
    <mergeCell ref="A16:M18"/>
    <mergeCell ref="A15:J15"/>
    <mergeCell ref="A3:M5"/>
    <mergeCell ref="A6:M6"/>
    <mergeCell ref="A7:M8"/>
    <mergeCell ref="F12:K12"/>
    <mergeCell ref="F9:K9"/>
    <mergeCell ref="F10:K10"/>
    <mergeCell ref="F13:K13"/>
    <mergeCell ref="F14:K14"/>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43" workbookViewId="0">
      <selection activeCell="H77" sqref="H77"/>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69"/>
      <c r="B1" s="269"/>
      <c r="C1" s="269"/>
      <c r="D1" s="269"/>
      <c r="E1" s="269"/>
      <c r="F1" s="269"/>
      <c r="I1" s="1"/>
    </row>
    <row r="2" spans="1:16">
      <c r="A2" s="269">
        <v>7</v>
      </c>
      <c r="B2" s="269"/>
      <c r="C2" s="269"/>
      <c r="D2" s="269"/>
      <c r="E2" s="269"/>
      <c r="F2" s="269"/>
      <c r="I2" s="1"/>
    </row>
    <row r="3" spans="1:16">
      <c r="A3" s="269"/>
      <c r="B3" s="269"/>
      <c r="C3" s="269"/>
      <c r="D3" s="269"/>
      <c r="E3" s="269"/>
      <c r="F3" s="269"/>
      <c r="I3" s="1"/>
    </row>
    <row r="4" spans="1:16">
      <c r="A4" s="269"/>
      <c r="B4" s="269"/>
      <c r="C4" s="269"/>
      <c r="D4" s="269"/>
      <c r="E4" s="269"/>
      <c r="F4" s="269"/>
      <c r="I4" s="1"/>
      <c r="K4" s="24"/>
    </row>
    <row r="5" spans="1:16">
      <c r="A5" s="269"/>
      <c r="B5" s="269"/>
      <c r="C5" s="269"/>
      <c r="D5" s="269"/>
      <c r="E5" s="269"/>
      <c r="F5" s="269"/>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75" t="s">
        <v>168</v>
      </c>
      <c r="C8" s="275"/>
      <c r="D8" s="275"/>
      <c r="E8" s="269"/>
      <c r="F8" s="154"/>
      <c r="G8" s="154"/>
      <c r="I8" s="1"/>
      <c r="J8" s="25"/>
      <c r="K8" s="25"/>
      <c r="L8" s="25"/>
      <c r="M8" s="24"/>
      <c r="N8" s="1"/>
    </row>
    <row r="9" spans="1:16" ht="18" customHeight="1">
      <c r="A9" s="194" t="s">
        <v>167</v>
      </c>
      <c r="B9" s="276" t="s">
        <v>169</v>
      </c>
      <c r="C9" s="276"/>
      <c r="D9" s="276"/>
      <c r="E9" s="269"/>
      <c r="F9" s="5"/>
      <c r="G9" s="5"/>
      <c r="I9" s="1"/>
      <c r="J9" s="14"/>
      <c r="K9" s="15"/>
      <c r="L9" s="15"/>
      <c r="M9" s="15"/>
      <c r="N9" s="1"/>
    </row>
    <row r="10" spans="1:16" ht="18" customHeight="1">
      <c r="A10" s="195"/>
      <c r="B10" s="271" t="s">
        <v>172</v>
      </c>
      <c r="C10" s="271"/>
      <c r="D10" s="271"/>
      <c r="E10" s="271"/>
      <c r="F10" s="5"/>
      <c r="G10" s="5"/>
      <c r="I10" s="1"/>
      <c r="J10" s="186" t="s">
        <v>165</v>
      </c>
      <c r="K10" s="187"/>
      <c r="L10" s="187"/>
      <c r="M10" s="187"/>
      <c r="N10" s="188"/>
      <c r="O10" s="189"/>
      <c r="P10" s="189"/>
    </row>
    <row r="11" spans="1:16" ht="19.5" customHeight="1">
      <c r="A11" s="6"/>
      <c r="B11" s="5"/>
      <c r="C11" s="5"/>
      <c r="D11" s="5"/>
      <c r="E11" s="5"/>
      <c r="F11" s="5"/>
      <c r="G11" s="5"/>
      <c r="I11" s="1"/>
      <c r="J11" s="270">
        <v>4</v>
      </c>
      <c r="K11" s="270"/>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64"/>
    </row>
    <row r="15" spans="1:16">
      <c r="A15" s="132"/>
      <c r="B15" s="1"/>
      <c r="C15" s="1"/>
      <c r="D15" s="1"/>
      <c r="E15" s="1"/>
      <c r="F15" s="1"/>
      <c r="G15" s="1"/>
      <c r="H15" s="133"/>
      <c r="I15" s="10"/>
      <c r="J15" s="267" t="s">
        <v>173</v>
      </c>
      <c r="K15" s="268"/>
      <c r="L15" s="268"/>
      <c r="M15" s="268"/>
      <c r="N15" s="170">
        <v>12</v>
      </c>
      <c r="O15" s="16" t="s">
        <v>1</v>
      </c>
      <c r="P15" s="264"/>
    </row>
    <row r="16" spans="1:16">
      <c r="A16" s="132"/>
      <c r="B16" s="1"/>
      <c r="C16" s="1"/>
      <c r="D16" s="1"/>
      <c r="E16" s="1"/>
      <c r="F16" s="1"/>
      <c r="G16" s="1"/>
      <c r="H16" s="133"/>
      <c r="I16" s="10"/>
      <c r="J16" s="262" t="s">
        <v>227</v>
      </c>
      <c r="K16" s="263"/>
      <c r="L16" s="263"/>
      <c r="M16" s="263"/>
      <c r="N16" s="171">
        <v>5</v>
      </c>
      <c r="O16" s="11" t="s">
        <v>1</v>
      </c>
      <c r="P16" s="264"/>
    </row>
    <row r="17" spans="1:16">
      <c r="A17" s="132"/>
      <c r="B17" s="1"/>
      <c r="C17" s="1"/>
      <c r="D17" s="1"/>
      <c r="E17" s="1"/>
      <c r="F17" s="1"/>
      <c r="G17" s="1"/>
      <c r="H17" s="133"/>
      <c r="I17" s="10"/>
      <c r="J17" s="262" t="s">
        <v>174</v>
      </c>
      <c r="K17" s="263"/>
      <c r="L17" s="263"/>
      <c r="M17" s="263"/>
      <c r="N17" s="196">
        <v>0.8</v>
      </c>
      <c r="O17" s="11" t="s">
        <v>2</v>
      </c>
      <c r="P17" s="264"/>
    </row>
    <row r="18" spans="1:16">
      <c r="A18" s="132"/>
      <c r="B18" s="1"/>
      <c r="C18" s="1"/>
      <c r="D18" s="1"/>
      <c r="E18" s="1"/>
      <c r="F18" s="1"/>
      <c r="G18" s="1"/>
      <c r="H18" s="133"/>
      <c r="I18" s="10"/>
      <c r="J18" s="262" t="s">
        <v>175</v>
      </c>
      <c r="K18" s="263"/>
      <c r="L18" s="263"/>
      <c r="M18" s="263"/>
      <c r="N18" s="171">
        <v>3</v>
      </c>
      <c r="O18" s="11" t="s">
        <v>5</v>
      </c>
      <c r="P18" s="264"/>
    </row>
    <row r="19" spans="1:16" ht="15" thickBot="1">
      <c r="A19" s="132"/>
      <c r="B19" s="1"/>
      <c r="C19" s="1"/>
      <c r="D19" s="1"/>
      <c r="E19" s="1"/>
      <c r="F19" s="1"/>
      <c r="G19" s="1"/>
      <c r="H19" s="133"/>
      <c r="I19" s="10"/>
      <c r="J19" s="265" t="s">
        <v>176</v>
      </c>
      <c r="K19" s="266"/>
      <c r="L19" s="266"/>
      <c r="M19" s="266"/>
      <c r="N19" s="172">
        <v>25</v>
      </c>
      <c r="O19" s="197" t="s">
        <v>74</v>
      </c>
      <c r="P19" s="264"/>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80" t="s">
        <v>228</v>
      </c>
      <c r="K22" s="281"/>
      <c r="L22" s="281"/>
      <c r="M22" s="281"/>
      <c r="N22" s="236">
        <v>200</v>
      </c>
      <c r="O22" s="235" t="s">
        <v>229</v>
      </c>
    </row>
    <row r="23" spans="1:16" ht="16.5" thickBot="1">
      <c r="A23" s="132"/>
      <c r="B23" s="1"/>
      <c r="C23" s="1"/>
      <c r="D23" s="1"/>
      <c r="E23" s="1"/>
      <c r="F23" s="1"/>
      <c r="G23" s="1"/>
      <c r="H23" s="133"/>
      <c r="J23" s="265" t="s">
        <v>234</v>
      </c>
      <c r="K23" s="277"/>
      <c r="L23" s="277"/>
      <c r="M23" s="277"/>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72" t="s">
        <v>232</v>
      </c>
      <c r="K26" s="272"/>
      <c r="L26" s="272"/>
      <c r="M26" s="272"/>
      <c r="N26" s="272"/>
      <c r="O26" s="272"/>
    </row>
    <row r="27" spans="1:16">
      <c r="A27" s="132"/>
      <c r="B27" s="1"/>
      <c r="C27" s="1"/>
      <c r="D27" s="1"/>
      <c r="E27" s="1"/>
      <c r="F27" s="1"/>
      <c r="G27" s="1"/>
      <c r="H27" s="133"/>
      <c r="J27" s="273" t="s">
        <v>6</v>
      </c>
      <c r="K27" s="274"/>
      <c r="L27" s="274"/>
      <c r="M27" s="274"/>
      <c r="N27" s="173">
        <f>((N15-N16)*(N16/N15)/(N22*1000*'Sheet1 select'!B42*0.35))*1000000</f>
        <v>10.416666666666668</v>
      </c>
      <c r="O27" s="16" t="s">
        <v>7</v>
      </c>
    </row>
    <row r="28" spans="1:16" ht="15.75">
      <c r="A28" s="132"/>
      <c r="B28" s="1"/>
      <c r="C28" s="1"/>
      <c r="D28" s="1"/>
      <c r="E28" s="1"/>
      <c r="F28" s="1"/>
      <c r="G28" s="1"/>
      <c r="H28" s="133"/>
      <c r="J28" s="260" t="s">
        <v>205</v>
      </c>
      <c r="K28" s="261"/>
      <c r="L28" s="261"/>
      <c r="M28" s="261"/>
      <c r="N28" s="174">
        <f>'Sheet1 select'!B11</f>
        <v>6</v>
      </c>
      <c r="O28" s="12" t="s">
        <v>2</v>
      </c>
    </row>
    <row r="29" spans="1:16" ht="17.25" customHeight="1" thickBot="1">
      <c r="A29" s="134"/>
      <c r="B29" s="135"/>
      <c r="C29" s="135"/>
      <c r="D29" s="135"/>
      <c r="E29" s="135"/>
      <c r="F29" s="135"/>
      <c r="G29" s="135"/>
      <c r="H29" s="136"/>
      <c r="J29" s="262" t="s">
        <v>177</v>
      </c>
      <c r="K29" s="263"/>
      <c r="L29" s="263"/>
      <c r="M29" s="263"/>
      <c r="N29" s="171">
        <v>22</v>
      </c>
      <c r="O29" s="11" t="s">
        <v>7</v>
      </c>
    </row>
    <row r="30" spans="1:16" ht="15.75" customHeight="1" thickBot="1">
      <c r="A30" s="128"/>
      <c r="B30" s="128"/>
      <c r="C30" s="128"/>
      <c r="D30" s="128"/>
      <c r="E30" s="128"/>
      <c r="F30" s="128"/>
      <c r="G30" s="128"/>
      <c r="H30" s="128"/>
      <c r="J30" s="265" t="s">
        <v>178</v>
      </c>
      <c r="K30" s="277"/>
      <c r="L30" s="277"/>
      <c r="M30" s="277"/>
      <c r="N30" s="172">
        <v>100</v>
      </c>
      <c r="O30" s="13" t="s">
        <v>8</v>
      </c>
    </row>
    <row r="31" spans="1:16">
      <c r="E31" s="2"/>
    </row>
    <row r="32" spans="1:16" ht="15" thickBot="1">
      <c r="E32" s="2"/>
      <c r="J32" s="298" t="s">
        <v>233</v>
      </c>
      <c r="K32" s="298"/>
      <c r="L32" s="298"/>
      <c r="M32" s="298"/>
      <c r="N32" s="298"/>
      <c r="O32" s="298"/>
    </row>
    <row r="33" spans="1:16" ht="15" thickBot="1">
      <c r="E33" s="2"/>
      <c r="J33" s="299" t="s">
        <v>231</v>
      </c>
      <c r="K33" s="300"/>
      <c r="L33" s="300"/>
      <c r="M33" s="300"/>
      <c r="N33" s="241">
        <v>0.4</v>
      </c>
      <c r="O33" s="240" t="s">
        <v>222</v>
      </c>
    </row>
    <row r="34" spans="1:16">
      <c r="E34" s="2"/>
      <c r="J34" s="239"/>
      <c r="K34" s="239"/>
      <c r="L34" s="239"/>
      <c r="M34" s="239"/>
      <c r="N34" s="239"/>
      <c r="O34" s="239"/>
    </row>
    <row r="35" spans="1:16" ht="19.5" thickBot="1">
      <c r="A35" s="9" t="s">
        <v>22</v>
      </c>
      <c r="B35" s="27"/>
      <c r="C35" s="27"/>
      <c r="D35" s="27"/>
      <c r="E35" s="5"/>
      <c r="J35" s="272" t="s">
        <v>15</v>
      </c>
      <c r="K35" s="272"/>
      <c r="L35" s="272"/>
      <c r="M35" s="272"/>
      <c r="N35" s="272"/>
      <c r="O35" s="272"/>
    </row>
    <row r="36" spans="1:16" ht="15">
      <c r="A36" s="7"/>
      <c r="B36" s="5"/>
      <c r="C36" s="5"/>
      <c r="E36" s="2"/>
      <c r="J36" s="278" t="s">
        <v>9</v>
      </c>
      <c r="K36" s="279"/>
      <c r="L36" s="279"/>
      <c r="M36" s="279"/>
      <c r="N36" s="175">
        <v>22</v>
      </c>
      <c r="O36" s="17" t="s">
        <v>10</v>
      </c>
    </row>
    <row r="37" spans="1:16">
      <c r="E37" s="2"/>
      <c r="J37" s="260" t="s">
        <v>11</v>
      </c>
      <c r="K37" s="261"/>
      <c r="L37" s="261"/>
      <c r="M37" s="261"/>
      <c r="N37" s="174">
        <f>SQRT((N16/N15)*(1-N16/N15))*N17</f>
        <v>0.39440531887330771</v>
      </c>
      <c r="O37" s="12" t="s">
        <v>12</v>
      </c>
    </row>
    <row r="38" spans="1:16" ht="15">
      <c r="J38" s="260" t="s">
        <v>13</v>
      </c>
      <c r="K38" s="261"/>
      <c r="L38" s="261"/>
      <c r="M38" s="261"/>
      <c r="N38" s="214">
        <f>1000000*(N16*(1-N16/N15)/(N29*N22))/(8*N22*N18*N16*0.01)</f>
        <v>2.7619949494949485</v>
      </c>
      <c r="O38" s="12" t="s">
        <v>159</v>
      </c>
    </row>
    <row r="39" spans="1:16">
      <c r="J39" s="260" t="s">
        <v>14</v>
      </c>
      <c r="K39" s="261"/>
      <c r="L39" s="261"/>
      <c r="M39" s="261"/>
      <c r="N39" s="176">
        <f>((N16*N18/100)/((N15-N16)*(N16/N15)/(N29*0.000001*N22*1000)))*1000</f>
        <v>226.28571428571428</v>
      </c>
      <c r="O39" s="12" t="s">
        <v>8</v>
      </c>
    </row>
    <row r="40" spans="1:16" ht="15">
      <c r="A40" s="7"/>
      <c r="B40" s="5"/>
      <c r="C40" s="5"/>
      <c r="J40" s="262" t="s">
        <v>223</v>
      </c>
      <c r="K40" s="263"/>
      <c r="L40" s="263"/>
      <c r="M40" s="263"/>
      <c r="N40" s="171">
        <v>4700</v>
      </c>
      <c r="O40" s="11" t="s">
        <v>10</v>
      </c>
    </row>
    <row r="41" spans="1:16" ht="15" thickBot="1">
      <c r="J41" s="265" t="s">
        <v>224</v>
      </c>
      <c r="K41" s="277"/>
      <c r="L41" s="277"/>
      <c r="M41" s="277"/>
      <c r="N41" s="172">
        <v>45</v>
      </c>
      <c r="O41" s="13" t="s">
        <v>8</v>
      </c>
    </row>
    <row r="43" spans="1:16" ht="15" thickBot="1">
      <c r="J43" s="272" t="s">
        <v>16</v>
      </c>
      <c r="K43" s="272"/>
      <c r="L43" s="272"/>
      <c r="M43" s="272"/>
      <c r="N43" s="272"/>
      <c r="O43" s="272"/>
    </row>
    <row r="44" spans="1:16" ht="15" thickBot="1">
      <c r="J44" s="258" t="s">
        <v>18</v>
      </c>
      <c r="K44" s="259"/>
      <c r="L44" s="259"/>
      <c r="M44" s="259"/>
      <c r="N44" s="177">
        <f>(((N15-N16)*(N16/N15)/(N29*0.000001*N22*1000))*((N41*0.001+1/(8*N22*1000*N40*0.000001))))*1000</f>
        <v>29.917694229529332</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80" t="s">
        <v>238</v>
      </c>
      <c r="K48" s="281"/>
      <c r="L48" s="281"/>
      <c r="M48" s="281"/>
      <c r="N48" s="178">
        <v>10</v>
      </c>
      <c r="O48" s="16" t="s">
        <v>4</v>
      </c>
    </row>
    <row r="49" spans="1:15" ht="16.5" thickBot="1">
      <c r="J49" s="258" t="s">
        <v>183</v>
      </c>
      <c r="K49" s="259"/>
      <c r="L49" s="259"/>
      <c r="M49" s="259"/>
      <c r="N49" s="184">
        <f>N48*(N16/0.8-1)</f>
        <v>52.5</v>
      </c>
      <c r="O49" s="13" t="s">
        <v>4</v>
      </c>
    </row>
    <row r="50" spans="1:15">
      <c r="J50" s="19"/>
      <c r="K50" s="19"/>
      <c r="L50" s="19"/>
      <c r="M50" s="19"/>
      <c r="N50" s="18"/>
      <c r="O50" s="22"/>
    </row>
    <row r="51" spans="1:15" ht="19.5" thickBot="1">
      <c r="J51" s="272" t="s">
        <v>21</v>
      </c>
      <c r="K51" s="272"/>
      <c r="L51" s="272"/>
      <c r="M51" s="272"/>
      <c r="N51" s="272"/>
      <c r="O51" s="272"/>
    </row>
    <row r="52" spans="1:15">
      <c r="J52" s="280" t="s">
        <v>179</v>
      </c>
      <c r="K52" s="281"/>
      <c r="L52" s="281"/>
      <c r="M52" s="281"/>
      <c r="N52" s="180">
        <v>20</v>
      </c>
      <c r="O52" s="16" t="s">
        <v>3</v>
      </c>
    </row>
    <row r="53" spans="1:15" ht="15.75">
      <c r="A53" s="9" t="s">
        <v>28</v>
      </c>
      <c r="B53" s="27"/>
      <c r="C53" s="27"/>
      <c r="J53" s="293" t="s">
        <v>184</v>
      </c>
      <c r="K53" s="294"/>
      <c r="L53" s="294"/>
      <c r="M53" s="294"/>
      <c r="N53" s="179">
        <f ca="1">(('Sheet1 select'!B6/1000000)*'Bode Plot Calculations'!E3*'Bode Plot Calculations'!E4*'Bode Plot Calculations'!B3/(SQRT(((1-(('EZBuck design calculator'!N52*1000)/(N22*1000/2))^2)^2)+((1/'Bode Plot Calculations'!K6)*(('EZBuck design calculator'!N52*1000)/(N22*1000/2)))^2)*2*PI()*'EZBuck design calculator'!N52*1000))*1000000000</f>
        <v>2.7042754950609007</v>
      </c>
      <c r="O53" s="11" t="s">
        <v>19</v>
      </c>
    </row>
    <row r="54" spans="1:15" ht="15.75">
      <c r="J54" s="293" t="s">
        <v>185</v>
      </c>
      <c r="K54" s="294"/>
      <c r="L54" s="294"/>
      <c r="M54" s="294"/>
      <c r="N54" s="179">
        <f ca="1">(1/(2*PI()*'Bode Plot Calculations'!H4*N53*0.000000001))*0.001</f>
        <v>3018.0304813953462</v>
      </c>
      <c r="O54" s="11" t="s">
        <v>4</v>
      </c>
    </row>
    <row r="55" spans="1:15" ht="15.75">
      <c r="J55" s="293" t="s">
        <v>186</v>
      </c>
      <c r="K55" s="294"/>
      <c r="L55" s="294"/>
      <c r="M55" s="294"/>
      <c r="N55" s="179">
        <f ca="1">IF((1/(2*PI()*'EZBuck design calculator'!N40*0.000001*'EZBuck design calculator'!N41*0.001))&lt;3*'EZBuck design calculator'!N52*1000,('EZBuck design calculator'!N40*0.000001*'EZBuck design calculator'!N41*0.001/('EZBuck design calculator'!N54*1000))*(1000000000000)-10,0)</f>
        <v>60.078815076186984</v>
      </c>
      <c r="O55" s="11" t="s">
        <v>20</v>
      </c>
    </row>
    <row r="56" spans="1:15" ht="15">
      <c r="J56" s="293" t="s">
        <v>211</v>
      </c>
      <c r="K56" s="295"/>
      <c r="L56" s="295"/>
      <c r="M56" s="295"/>
      <c r="N56" s="179">
        <f ca="1">1000000000000*SQRT(((0.001/N49)+(0.001/N48))/(1000*N49))/(2*3.14159265*1000*N63)</f>
        <v>4781.8832876268707</v>
      </c>
      <c r="O56" s="11" t="s">
        <v>212</v>
      </c>
    </row>
    <row r="57" spans="1:15" ht="15.75">
      <c r="J57" s="262" t="s">
        <v>180</v>
      </c>
      <c r="K57" s="263"/>
      <c r="L57" s="263"/>
      <c r="M57" s="263"/>
      <c r="N57" s="181">
        <v>1.5</v>
      </c>
      <c r="O57" s="11" t="s">
        <v>19</v>
      </c>
    </row>
    <row r="58" spans="1:15" ht="15.75">
      <c r="J58" s="262" t="s">
        <v>181</v>
      </c>
      <c r="K58" s="263"/>
      <c r="L58" s="263"/>
      <c r="M58" s="263"/>
      <c r="N58" s="181">
        <v>10</v>
      </c>
      <c r="O58" s="11" t="s">
        <v>4</v>
      </c>
    </row>
    <row r="59" spans="1:15" ht="15.75">
      <c r="I59" s="210"/>
      <c r="J59" s="262" t="s">
        <v>182</v>
      </c>
      <c r="K59" s="263"/>
      <c r="L59" s="263"/>
      <c r="M59" s="263"/>
      <c r="N59" s="181">
        <v>0</v>
      </c>
      <c r="O59" s="11" t="s">
        <v>20</v>
      </c>
    </row>
    <row r="60" spans="1:15" ht="15" thickBot="1">
      <c r="I60" s="210"/>
      <c r="J60" s="265" t="s">
        <v>214</v>
      </c>
      <c r="K60" s="277"/>
      <c r="L60" s="277"/>
      <c r="M60" s="277"/>
      <c r="N60" s="182">
        <v>0</v>
      </c>
      <c r="O60" s="13" t="s">
        <v>213</v>
      </c>
    </row>
    <row r="62" spans="1:15" ht="15.75" thickBot="1">
      <c r="A62" s="7"/>
      <c r="B62" s="5"/>
      <c r="C62" s="5"/>
      <c r="D62" s="5"/>
      <c r="E62" s="5"/>
      <c r="J62" s="272" t="s">
        <v>23</v>
      </c>
      <c r="K62" s="272"/>
      <c r="L62" s="272"/>
      <c r="M62" s="272"/>
      <c r="N62" s="272"/>
      <c r="O62" s="272"/>
    </row>
    <row r="63" spans="1:15">
      <c r="J63" s="273" t="s">
        <v>24</v>
      </c>
      <c r="K63" s="274"/>
      <c r="L63" s="274"/>
      <c r="M63" s="274"/>
      <c r="N63" s="183">
        <f ca="1">'Bode Plot Calculations'!R4</f>
        <v>1.5849000000000002</v>
      </c>
      <c r="O63" s="16" t="s">
        <v>3</v>
      </c>
    </row>
    <row r="64" spans="1:15" ht="15" thickBot="1">
      <c r="J64" s="258" t="s">
        <v>25</v>
      </c>
      <c r="K64" s="259"/>
      <c r="L64" s="259"/>
      <c r="M64" s="259"/>
      <c r="N64" s="184">
        <f ca="1">'Bode Plot Calculations'!R5</f>
        <v>69.017670334665183</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96" t="s">
        <v>207</v>
      </c>
      <c r="K68" s="297"/>
      <c r="L68" s="297"/>
      <c r="M68" s="297"/>
      <c r="N68" s="212">
        <f ca="1">'Efficiency calculations'!T301</f>
        <v>4.0509945620964993E-2</v>
      </c>
      <c r="O68" s="131" t="s">
        <v>209</v>
      </c>
    </row>
    <row r="69" spans="10:16" ht="15" thickBot="1">
      <c r="J69" s="291" t="s">
        <v>208</v>
      </c>
      <c r="K69" s="292"/>
      <c r="L69" s="292"/>
      <c r="M69" s="292"/>
      <c r="N69" s="213">
        <f ca="1">N19+'Sheet1 select'!B34*'Efficiency calculations'!T301</f>
        <v>27.51161662849983</v>
      </c>
      <c r="O69" s="209" t="s">
        <v>74</v>
      </c>
    </row>
    <row r="70" spans="10:16" ht="15" thickBot="1">
      <c r="J70" s="1"/>
      <c r="K70" s="1"/>
      <c r="L70" s="1"/>
      <c r="M70" s="1"/>
      <c r="N70" s="1"/>
      <c r="O70" s="1"/>
    </row>
    <row r="71" spans="10:16">
      <c r="J71" s="282" t="s">
        <v>210</v>
      </c>
      <c r="K71" s="283"/>
      <c r="L71" s="283"/>
      <c r="M71" s="283"/>
      <c r="N71" s="283"/>
      <c r="O71" s="284"/>
    </row>
    <row r="72" spans="10:16">
      <c r="J72" s="285"/>
      <c r="K72" s="286"/>
      <c r="L72" s="286"/>
      <c r="M72" s="286"/>
      <c r="N72" s="286"/>
      <c r="O72" s="287"/>
    </row>
    <row r="73" spans="10:16">
      <c r="J73" s="285"/>
      <c r="K73" s="286"/>
      <c r="L73" s="286"/>
      <c r="M73" s="286"/>
      <c r="N73" s="286"/>
      <c r="O73" s="287"/>
    </row>
    <row r="74" spans="10:16">
      <c r="J74" s="285"/>
      <c r="K74" s="286"/>
      <c r="L74" s="286"/>
      <c r="M74" s="286"/>
      <c r="N74" s="286"/>
      <c r="O74" s="287"/>
    </row>
    <row r="75" spans="10:16" ht="15" thickBot="1">
      <c r="J75" s="288"/>
      <c r="K75" s="289"/>
      <c r="L75" s="289"/>
      <c r="M75" s="289"/>
      <c r="N75" s="289"/>
      <c r="O75" s="290"/>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60:M60"/>
    <mergeCell ref="J68:M68"/>
    <mergeCell ref="J30:M30"/>
    <mergeCell ref="J32:O32"/>
    <mergeCell ref="J22:M22"/>
    <mergeCell ref="J33:M33"/>
    <mergeCell ref="J28:M28"/>
    <mergeCell ref="J43:O43"/>
    <mergeCell ref="J38:M38"/>
    <mergeCell ref="J51:O51"/>
    <mergeCell ref="J48:M48"/>
    <mergeCell ref="J71:O75"/>
    <mergeCell ref="J69:M69"/>
    <mergeCell ref="J55:M55"/>
    <mergeCell ref="J57:M57"/>
    <mergeCell ref="J53:M53"/>
    <mergeCell ref="J54:M54"/>
    <mergeCell ref="J58:M58"/>
    <mergeCell ref="J59:M59"/>
    <mergeCell ref="J62:O62"/>
    <mergeCell ref="J63:M63"/>
    <mergeCell ref="J52:M52"/>
    <mergeCell ref="J56:M56"/>
    <mergeCell ref="A1:F5"/>
    <mergeCell ref="J11:K11"/>
    <mergeCell ref="B10:E10"/>
    <mergeCell ref="J26:O26"/>
    <mergeCell ref="J27:M27"/>
    <mergeCell ref="B8:E8"/>
    <mergeCell ref="B9:E9"/>
    <mergeCell ref="J23:M23"/>
    <mergeCell ref="J49:M49"/>
    <mergeCell ref="J39:M39"/>
    <mergeCell ref="J40:M40"/>
    <mergeCell ref="J64:M64"/>
    <mergeCell ref="P14:P19"/>
    <mergeCell ref="J18:M18"/>
    <mergeCell ref="J19:M19"/>
    <mergeCell ref="J29:M29"/>
    <mergeCell ref="J15:M15"/>
    <mergeCell ref="J16:M16"/>
    <mergeCell ref="J17:M17"/>
    <mergeCell ref="J44:M44"/>
    <mergeCell ref="J35:O35"/>
    <mergeCell ref="J36:M36"/>
    <mergeCell ref="J37:M37"/>
    <mergeCell ref="J41:M41"/>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1.6477810778236918E-3</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1.7308099753964145E-2</v>
      </c>
      <c r="S2" s="48">
        <f t="shared" ref="S2:S65" ca="1" si="4">($B$11*F2)/($B$11*F2+R2)</f>
        <v>0.43514065727104384</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1.6477810778236918E-3</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1.797158634558833E-2</v>
      </c>
      <c r="S3" s="48">
        <f t="shared" ca="1" si="4"/>
        <v>0.59739494418264072</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1.6477810778236918E-3</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1.8638240852696251E-2</v>
      </c>
      <c r="S4" s="48">
        <f t="shared" ca="1" si="4"/>
        <v>0.68214870395725324</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1.6477810778236918E-3</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1.9308063275287904E-2</v>
      </c>
      <c r="S5" s="48">
        <f t="shared" ca="1" si="4"/>
        <v>0.7342002745443309</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1.6477810778236918E-3</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1.9981053613363293E-2</v>
      </c>
      <c r="S6" s="48">
        <f t="shared" ca="1" si="4"/>
        <v>0.76939896919632633</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1.6477810778236918E-3</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2.0657211866922421E-2</v>
      </c>
      <c r="S7" s="48">
        <f t="shared" ca="1" si="4"/>
        <v>0.794776633648138</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1.6477810778236918E-3</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2.1336538035965278E-2</v>
      </c>
      <c r="S8" s="48">
        <f t="shared" ca="1" si="4"/>
        <v>0.81393074064546422</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1.6477810778236918E-3</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2.2019032120491871E-2</v>
      </c>
      <c r="S9" s="48">
        <f t="shared" ca="1" si="4"/>
        <v>0.82889293582723178</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1.6477810778236918E-3</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2.2704694120502199E-2</v>
      </c>
      <c r="S10" s="48">
        <f t="shared" ca="1" si="4"/>
        <v>0.84089735617715577</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1.6477810778236918E-3</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2.3393524035996264E-2</v>
      </c>
      <c r="S11" s="48">
        <f t="shared" ca="1" si="4"/>
        <v>0.85073698006418252</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1.6477810778236918E-3</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2.4085521866974061E-2</v>
      </c>
      <c r="S12" s="48">
        <f t="shared" ca="1" si="4"/>
        <v>0.85894457884369169</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1.6477810778236918E-3</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2.4780687613435593E-2</v>
      </c>
      <c r="S13" s="48">
        <f t="shared" ca="1" si="4"/>
        <v>0.86589135513297133</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1.6477810778236918E-3</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2.5479021275380858E-2</v>
      </c>
      <c r="S14" s="48">
        <f t="shared" ca="1" si="4"/>
        <v>0.87184387345783154</v>
      </c>
      <c r="T14" s="49">
        <f ca="1">H14+K14+O14+N14+'Sheet1 select'!$B$40*I14+J14+P14</f>
        <v>1.5501995753112723E-2</v>
      </c>
      <c r="U14" s="169">
        <f t="shared" ca="1" si="5"/>
        <v>3.5019957531127232E-3</v>
      </c>
      <c r="V14" s="47">
        <f t="shared" ca="1" si="6"/>
        <v>0</v>
      </c>
    </row>
    <row r="15" spans="1:22">
      <c r="A15" s="159" t="s">
        <v>40</v>
      </c>
      <c r="B15" s="60">
        <f>'EZBuck design calculator'!N40</f>
        <v>4700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1.6477810778236918E-3</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2.6180522852809859E-2</v>
      </c>
      <c r="S15" s="48">
        <f t="shared" ca="1" si="4"/>
        <v>0.87699850342438179</v>
      </c>
      <c r="T15" s="49">
        <f ca="1">H15+K15+O15+N15+'Sheet1 select'!$B$40*I15+J15+P15</f>
        <v>1.5542875108319502E-2</v>
      </c>
      <c r="U15" s="169">
        <f t="shared" ca="1" si="5"/>
        <v>3.5428751083195023E-3</v>
      </c>
      <c r="V15" s="47">
        <f t="shared" ca="1" si="6"/>
        <v>0</v>
      </c>
    </row>
    <row r="16" spans="1:22" ht="15" thickBot="1">
      <c r="A16" s="160" t="s">
        <v>50</v>
      </c>
      <c r="B16" s="64">
        <f>'EZBuck design calculator'!N41</f>
        <v>45</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1.6477810778236918E-3</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2.6885192345722595E-2</v>
      </c>
      <c r="S16" s="48">
        <f t="shared" ca="1" si="4"/>
        <v>0.88150309825087425</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1.6477810778236918E-3</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2.7593029754119067E-2</v>
      </c>
      <c r="S17" s="48">
        <f t="shared" ca="1" si="4"/>
        <v>0.88547110660487072</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1.6477810778236918E-3</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2.8304035077999268E-2</v>
      </c>
      <c r="S18" s="48">
        <f t="shared" ca="1" si="4"/>
        <v>0.88899102961898879</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1.6477810778236918E-3</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2.9018208317363209E-2</v>
      </c>
      <c r="S19" s="48">
        <f t="shared" ca="1" si="4"/>
        <v>0.89213292104328423</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1.6477810778236918E-3</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2.9735549472210885E-2</v>
      </c>
      <c r="S20" s="48">
        <f t="shared" ca="1" si="4"/>
        <v>0.89495295569934508</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1.6477810778236918E-3</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3.0456058542542293E-2</v>
      </c>
      <c r="S21" s="48">
        <f t="shared" ca="1" si="4"/>
        <v>0.89749670436316276</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1.6477810778236918E-3</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3.1179735528357434E-2</v>
      </c>
      <c r="S22" s="48">
        <f t="shared" ca="1" si="4"/>
        <v>0.89980152314411854</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1.6477810778236918E-3</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3.1906580429656321E-2</v>
      </c>
      <c r="S23" s="48">
        <f t="shared" ca="1" si="4"/>
        <v>0.90189832465363573</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1.6477810778236918E-3</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3.263659324643893E-2</v>
      </c>
      <c r="S24" s="48">
        <f t="shared" ca="1" si="4"/>
        <v>0.90381290985887663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1.6477810778236918E-3</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3.3369773978705275E-2</v>
      </c>
      <c r="S25" s="48">
        <f t="shared" ca="1" si="4"/>
        <v>0.90556698270204572</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1.6477810778236918E-3</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3.4106122626455355E-2</v>
      </c>
      <c r="S26" s="48">
        <f t="shared" ca="1" si="4"/>
        <v>0.90717893227506896</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1.6477810778236918E-3</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3.4845639189689172E-2</v>
      </c>
      <c r="S27" s="48">
        <f t="shared" ca="1" si="4"/>
        <v>0.90866444239203914</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1.6477810778236918E-3</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3.5588323668406731E-2</v>
      </c>
      <c r="S28" s="48">
        <f t="shared" ca="1" si="4"/>
        <v>0.91003697141921236</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1.6477810778236918E-3</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3.6334176062608012E-2</v>
      </c>
      <c r="S29" s="48">
        <f t="shared" ca="1" si="4"/>
        <v>0.91130813347589334</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1.6477810778236918E-3</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3.7083196372293029E-2</v>
      </c>
      <c r="S30" s="48">
        <f t="shared" ca="1" si="4"/>
        <v>0.9124880038748624</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1.6477810778236918E-3</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3.7835384597461788E-2</v>
      </c>
      <c r="S31" s="48">
        <f t="shared" ca="1" si="4"/>
        <v>0.9135853658053541</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1.6477810778236918E-3</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3.8590740738114276E-2</v>
      </c>
      <c r="S32" s="48">
        <f t="shared" ca="1" si="4"/>
        <v>0.91460791103592931</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1.6477810778236918E-3</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3.9349264794250501E-2</v>
      </c>
      <c r="S33" s="48">
        <f t="shared" ca="1" si="4"/>
        <v>0.9155624043347742</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1.6477810778236918E-3</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4.0110956765870454E-2</v>
      </c>
      <c r="S34" s="48">
        <f t="shared" ca="1" si="4"/>
        <v>0.91645481903586123</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1.6477810778236918E-3</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4.0875816652974156E-2</v>
      </c>
      <c r="S35" s="48">
        <f t="shared" ca="1" si="4"/>
        <v>0.91729044949065264</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1.6477810778236918E-3</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4.1643844455561581E-2</v>
      </c>
      <c r="S36" s="48">
        <f t="shared" ca="1" si="4"/>
        <v>0.91807400487622826</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1.6477810778236918E-3</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4.2415040173632734E-2</v>
      </c>
      <c r="S37" s="48">
        <f t="shared" ca="1" si="4"/>
        <v>0.91880968786898742</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1.6477810778236918E-3</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4.3189403807187637E-2</v>
      </c>
      <c r="S38" s="48">
        <f t="shared" ca="1" si="4"/>
        <v>0.91950126095797524</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1.6477810778236918E-3</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4.3966935356226269E-2</v>
      </c>
      <c r="S39" s="48">
        <f t="shared" ca="1" si="4"/>
        <v>0.92015210260561187</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1.6477810778236918E-3</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4.4747634820748637E-2</v>
      </c>
      <c r="S40" s="48">
        <f t="shared" ca="1" si="4"/>
        <v>0.92076525502412854</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1.6477810778236918E-3</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4.5531502200754734E-2</v>
      </c>
      <c r="S41" s="48">
        <f t="shared" ca="1" si="4"/>
        <v>0.92134346499257425</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1.6477810778236918E-3</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4.6318537496244566E-2</v>
      </c>
      <c r="S42" s="48">
        <f t="shared" ca="1" si="4"/>
        <v>0.92188921886907749</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1.6477810778236918E-3</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4.7108740707218141E-2</v>
      </c>
      <c r="S43" s="48">
        <f t="shared" ca="1" si="4"/>
        <v>0.92240477273916133</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1.6477810778236918E-3</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4.7902111833675445E-2</v>
      </c>
      <c r="S44" s="48">
        <f t="shared" ca="1" si="4"/>
        <v>0.92289217847059946</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1.6477810778236918E-3</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4.8698650875616478E-2</v>
      </c>
      <c r="S45" s="48">
        <f t="shared" ca="1" si="4"/>
        <v>0.92335330630889279</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1.6477810778236918E-3</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4.9498357833041254E-2</v>
      </c>
      <c r="S46" s="48">
        <f t="shared" ca="1" si="4"/>
        <v>0.92378986453763257</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1.6477810778236918E-3</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5.0301232705949772E-2</v>
      </c>
      <c r="S47" s="48">
        <f t="shared" ca="1" si="4"/>
        <v>0.9242034166391323</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1.6477810778236918E-3</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5.1107275494342005E-2</v>
      </c>
      <c r="S48" s="48">
        <f t="shared" ca="1" si="4"/>
        <v>0.92459539631843612</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1.6477810778236918E-3</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5.1916486198217981E-2</v>
      </c>
      <c r="S49" s="48">
        <f t="shared" ca="1" si="4"/>
        <v>0.92496712069475806</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1.6477810778236918E-3</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5.27288648175777E-2</v>
      </c>
      <c r="S50" s="48">
        <f t="shared" ca="1" si="4"/>
        <v>0.92531980191593888</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1.6477810778236918E-3</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5.3544411352421134E-2</v>
      </c>
      <c r="S51" s="48">
        <f t="shared" ca="1" si="4"/>
        <v>0.92565455741156755</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1.6477810778236918E-3</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5.4363125802748311E-2</v>
      </c>
      <c r="S52" s="48">
        <f t="shared" ca="1" si="4"/>
        <v>0.9259724189673566</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1.6477810778236918E-3</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5.518500816855923E-2</v>
      </c>
      <c r="S53" s="48">
        <f t="shared" ca="1" si="4"/>
        <v>0.9262743407758971</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1.6477810778236918E-3</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5.6010058449853878E-2</v>
      </c>
      <c r="S54" s="48">
        <f t="shared" ca="1" si="4"/>
        <v>0.92656120659602303</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1.6477810778236918E-3</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5.6838276646632283E-2</v>
      </c>
      <c r="S55" s="48">
        <f t="shared" ca="1" si="4"/>
        <v>0.92683383613384063</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1.6477810778236918E-3</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5.7669662758894388E-2</v>
      </c>
      <c r="S56" s="48">
        <f t="shared" ca="1" si="4"/>
        <v>0.9270929907423886</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1.6477810778236918E-3</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5.8504216786640251E-2</v>
      </c>
      <c r="S57" s="48">
        <f t="shared" ca="1" si="4"/>
        <v>0.92733937852332571</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1.6477810778236918E-3</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5.9341938729869842E-2</v>
      </c>
      <c r="S58" s="48">
        <f t="shared" ca="1" si="4"/>
        <v>0.92757365890258137</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1.6477810778236918E-3</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6.0182828588583148E-2</v>
      </c>
      <c r="S59" s="48">
        <f t="shared" ca="1" si="4"/>
        <v>0.92779644674217965</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1.6477810778236918E-3</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6.1026886362780211E-2</v>
      </c>
      <c r="S60" s="48">
        <f t="shared" ca="1" si="4"/>
        <v>0.92800831604217682</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1.6477810778236918E-3</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6.1874112052461003E-2</v>
      </c>
      <c r="S61" s="48">
        <f t="shared" ca="1" si="4"/>
        <v>0.92820980327960612</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1.6477810778236918E-3</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6.2724505657625537E-2</v>
      </c>
      <c r="S62" s="48">
        <f t="shared" ca="1" si="4"/>
        <v>0.9284014104252849</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1.6477810778236918E-3</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6.3578067178273787E-2</v>
      </c>
      <c r="S63" s="48">
        <f t="shared" ca="1" si="4"/>
        <v>0.9285836076741707</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1.6477810778236918E-3</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6.4434796614405793E-2</v>
      </c>
      <c r="S64" s="48">
        <f t="shared" ca="1" si="4"/>
        <v>0.92875683592050395</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1.6477810778236918E-3</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6.5294693966021514E-2</v>
      </c>
      <c r="S65" s="48">
        <f t="shared" ca="1" si="4"/>
        <v>0.92892150900514181</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1.6477810778236918E-3</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6.6157759233120991E-2</v>
      </c>
      <c r="S66" s="48">
        <f t="shared" ref="S66:S129" ca="1" si="11">($B$11*F66)/($B$11*F66+R66)</f>
        <v>0.92907801575917548</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1.6477810778236918E-3</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6.7023992415704184E-2</v>
      </c>
      <c r="S67" s="48">
        <f t="shared" ca="1" si="11"/>
        <v>0.9292267218650534</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1.6477810778236918E-3</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6.7893393513771119E-2</v>
      </c>
      <c r="S68" s="48">
        <f t="shared" ca="1" si="11"/>
        <v>0.92936797155394701</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1.6477810778236918E-3</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6.8765962527321783E-2</v>
      </c>
      <c r="S69" s="48">
        <f t="shared" ca="1" si="11"/>
        <v>0.92950208915592258</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1.6477810778236918E-3</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6.964169945635619E-2</v>
      </c>
      <c r="S70" s="48">
        <f t="shared" ca="1" si="11"/>
        <v>0.92962938051760269</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1.6477810778236918E-3</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7.052060430087434E-2</v>
      </c>
      <c r="S71" s="48">
        <f t="shared" ca="1" si="11"/>
        <v>0.92975013430034359</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1.6477810778236918E-3</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7.1402677060876205E-2</v>
      </c>
      <c r="S72" s="48">
        <f t="shared" ca="1" si="11"/>
        <v>0.92986462317051644</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1.6477810778236918E-3</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7.2287917736361812E-2</v>
      </c>
      <c r="S73" s="48">
        <f t="shared" ca="1" si="11"/>
        <v>0.9299731048922113</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1.6477810778236918E-3</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7.3176326327331162E-2</v>
      </c>
      <c r="S74" s="48">
        <f t="shared" ca="1" si="11"/>
        <v>0.9300758233315698</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1.6477810778236918E-3</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7.4067902833784227E-2</v>
      </c>
      <c r="S75" s="48">
        <f t="shared" ca="1" si="11"/>
        <v>0.93017300938097436</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1.6477810778236918E-3</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7.4962647255721035E-2</v>
      </c>
      <c r="S76" s="48">
        <f t="shared" ca="1" si="11"/>
        <v>0.93026488181045763</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1.6477810778236918E-3</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7.5860559593141585E-2</v>
      </c>
      <c r="S77" s="48">
        <f t="shared" ca="1" si="11"/>
        <v>0.93035164805293069</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1.6477810778236918E-3</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7.6761639846045851E-2</v>
      </c>
      <c r="S78" s="48">
        <f t="shared" ca="1" si="11"/>
        <v>0.93043350492915655</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1.6477810778236918E-3</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7.7665888014433887E-2</v>
      </c>
      <c r="S79" s="48">
        <f t="shared" ca="1" si="11"/>
        <v>0.93051063931779332</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1.6477810778236918E-3</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7.8573304098305624E-2</v>
      </c>
      <c r="S80" s="48">
        <f t="shared" ca="1" si="11"/>
        <v>0.93058322877530519</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1.6477810778236918E-3</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7.9483888097661118E-2</v>
      </c>
      <c r="S81" s="48">
        <f t="shared" ca="1" si="11"/>
        <v>0.93065144211005968</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1.6477810778236918E-3</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8.0397640012500313E-2</v>
      </c>
      <c r="S82" s="48">
        <f t="shared" ca="1" si="11"/>
        <v>0.93071543991451555</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1.6477810778236918E-3</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8.1314559842823292E-2</v>
      </c>
      <c r="S83" s="48">
        <f t="shared" ca="1" si="11"/>
        <v>0.93077537505902719</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1.6477810778236918E-3</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8.2234647588629958E-2</v>
      </c>
      <c r="S84" s="48">
        <f t="shared" ca="1" si="11"/>
        <v>0.93083139315045671</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1.6477810778236918E-3</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8.3157903249920381E-2</v>
      </c>
      <c r="S85" s="48">
        <f t="shared" ca="1" si="11"/>
        <v>0.93088363295848564</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1.6477810778236918E-3</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8.4084326826694533E-2</v>
      </c>
      <c r="S86" s="48">
        <f t="shared" ca="1" si="11"/>
        <v>0.93093222681224974</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1.6477810778236918E-3</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8.5013918318952428E-2</v>
      </c>
      <c r="S87" s="48">
        <f t="shared" ca="1" si="11"/>
        <v>0.93097730096967868</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1.6477810778236918E-3</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8.5946677726694079E-2</v>
      </c>
      <c r="S88" s="48">
        <f t="shared" ca="1" si="11"/>
        <v>0.93101897596170879</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1.6477810778236918E-3</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8.6882605049919431E-2</v>
      </c>
      <c r="S89" s="48">
        <f t="shared" ca="1" si="11"/>
        <v>0.93105736691333851</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1.6477810778236918E-3</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8.7821700288628513E-2</v>
      </c>
      <c r="S90" s="48">
        <f t="shared" ca="1" si="11"/>
        <v>0.93109258384332583</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1.6477810778236918E-3</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8.8763963442821336E-2</v>
      </c>
      <c r="S91" s="48">
        <f t="shared" ca="1" si="11"/>
        <v>0.93112473194416745</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1.6477810778236918E-3</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8.9709394512497917E-2</v>
      </c>
      <c r="S92" s="48">
        <f t="shared" ca="1" si="11"/>
        <v>0.93115391184385499</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1.6477810778236918E-3</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9.0657993497658226E-2</v>
      </c>
      <c r="S93" s="48">
        <f t="shared" ca="1" si="11"/>
        <v>0.93118021985077748</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1.6477810778236918E-3</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9.1609760398302251E-2</v>
      </c>
      <c r="S94" s="48">
        <f t="shared" ca="1" si="11"/>
        <v>0.93120374818302587</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1.6477810778236918E-3</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9.2564695214430004E-2</v>
      </c>
      <c r="S95" s="48">
        <f t="shared" ca="1" si="11"/>
        <v>0.93122458518324136</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1.6477810778236918E-3</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9.3522797946041528E-2</v>
      </c>
      <c r="S96" s="48">
        <f t="shared" ca="1" si="11"/>
        <v>0.93124281552006383</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1.6477810778236918E-3</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9.4484068593136766E-2</v>
      </c>
      <c r="S97" s="48">
        <f t="shared" ca="1" si="11"/>
        <v>0.93125852037714296</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1.6477810778236918E-3</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9.5448507155715734E-2</v>
      </c>
      <c r="S98" s="48">
        <f t="shared" ca="1" si="11"/>
        <v>0.93127177763060009</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1.6477810778236918E-3</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9.6416113633778444E-2</v>
      </c>
      <c r="S99" s="48">
        <f t="shared" ca="1" si="11"/>
        <v>0.93128266201575605</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1.6477810778236918E-3</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9.7386888027324869E-2</v>
      </c>
      <c r="S100" s="48">
        <f t="shared" ca="1" si="11"/>
        <v>0.9312912452838723</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1.6477810778236918E-3</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9.8360830336355037E-2</v>
      </c>
      <c r="S101" s="48">
        <f t="shared" ca="1" si="11"/>
        <v>0.93129759634960119</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1.6477810778236918E-3</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9.9337940560868976E-2</v>
      </c>
      <c r="S102" s="48">
        <f t="shared" ca="1" si="11"/>
        <v>0.93130178142977549</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1.6477810778236918E-3</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0.10031821870086659</v>
      </c>
      <c r="S103" s="48">
        <f t="shared" ca="1" si="11"/>
        <v>0.93130386417413047</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1.6477810778236918E-3</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0.10130166475634798</v>
      </c>
      <c r="S104" s="48">
        <f t="shared" ca="1" si="11"/>
        <v>0.9313039057884972</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1.6477810778236918E-3</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0.10228827872731308</v>
      </c>
      <c r="S105" s="48">
        <f t="shared" ca="1" si="11"/>
        <v>0.93130196515096864</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1.6477810778236918E-3</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0.10327806061376196</v>
      </c>
      <c r="S106" s="48">
        <f t="shared" ca="1" si="11"/>
        <v>0.93129809892150273</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1.6477810778236918E-3</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0.10427101041569452</v>
      </c>
      <c r="S107" s="48">
        <f t="shared" ca="1" si="11"/>
        <v>0.93129236164538931</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1.6477810778236918E-3</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0.10526712813311086</v>
      </c>
      <c r="S108" s="48">
        <f t="shared" ca="1" si="11"/>
        <v>0.93128480585098061</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1.6477810778236918E-3</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0.10626641376601091</v>
      </c>
      <c r="S109" s="48">
        <f t="shared" ca="1" si="11"/>
        <v>0.93127548214204969</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1.6477810778236918E-3</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0.10726886731439468</v>
      </c>
      <c r="S110" s="48">
        <f t="shared" ca="1" si="11"/>
        <v>0.9312644392851217</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1.6477810778236918E-3</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0.10827448877826221</v>
      </c>
      <c r="S111" s="48">
        <f t="shared" ca="1" si="11"/>
        <v>0.93125172429209002</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1.6477810778236918E-3</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0.10928327815761348</v>
      </c>
      <c r="S112" s="48">
        <f t="shared" ca="1" si="11"/>
        <v>0.93123738249841737</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1.6477810778236918E-3</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0.11029523545244846</v>
      </c>
      <c r="S113" s="48">
        <f t="shared" ca="1" si="11"/>
        <v>0.931221457637188</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1.6477810778236918E-3</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0.11131036066276717</v>
      </c>
      <c r="S114" s="48">
        <f t="shared" ca="1" si="11"/>
        <v>0.93120399190927239</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1.6477810778236918E-3</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0.11232865378856964</v>
      </c>
      <c r="S115" s="48">
        <f t="shared" ca="1" si="11"/>
        <v>0.93118502604983411</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1.6477810778236918E-3</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0.11335011482985581</v>
      </c>
      <c r="S116" s="48">
        <f t="shared" ca="1" si="11"/>
        <v>0.93116459939140483</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1.6477810778236918E-3</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0.11437474378662575</v>
      </c>
      <c r="S117" s="48">
        <f t="shared" ca="1" si="11"/>
        <v>0.93114274992372803</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1.6477810778236918E-3</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0.11540254065887945</v>
      </c>
      <c r="S118" s="48">
        <f t="shared" ca="1" si="11"/>
        <v>0.93111951435056584</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1.6477810778236918E-3</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0.11643350544661683</v>
      </c>
      <c r="S119" s="48">
        <f t="shared" ca="1" si="11"/>
        <v>0.93109492814364592</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1.6477810778236918E-3</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0.11746763814983795</v>
      </c>
      <c r="S120" s="48">
        <f t="shared" ca="1" si="11"/>
        <v>0.93106902559391502</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1.6477810778236918E-3</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0.11850493876854282</v>
      </c>
      <c r="S121" s="48">
        <f t="shared" ca="1" si="11"/>
        <v>0.93104183986025557</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1.6477810778236918E-3</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0.11954540730273144</v>
      </c>
      <c r="S122" s="48">
        <f t="shared" ca="1" si="11"/>
        <v>0.93101340301580982</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1.6477810778236918E-3</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0.12058904375240376</v>
      </c>
      <c r="S123" s="48">
        <f t="shared" ca="1" si="11"/>
        <v>0.93098374609204682</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1.6477810778236918E-3</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0.12163584811755984</v>
      </c>
      <c r="S124" s="48">
        <f t="shared" ca="1" si="11"/>
        <v>0.93095289912070256</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1.6477810778236918E-3</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0.12268582039819964</v>
      </c>
      <c r="S125" s="48">
        <f t="shared" ca="1" si="11"/>
        <v>0.93092089117370791</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1.6477810778236918E-3</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0.12373896059432317</v>
      </c>
      <c r="S126" s="48">
        <f t="shared" ca="1" si="11"/>
        <v>0.93088775040121929</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1.6477810778236918E-3</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0.12479526870593045</v>
      </c>
      <c r="S127" s="48">
        <f t="shared" ca="1" si="11"/>
        <v>0.93085350406785428</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1.6477810778236918E-3</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0.12585474473302144</v>
      </c>
      <c r="S128" s="48">
        <f t="shared" ca="1" si="11"/>
        <v>0.93081817858723304</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1.6477810778236918E-3</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0.12691738867559621</v>
      </c>
      <c r="S129" s="48">
        <f t="shared" ca="1" si="11"/>
        <v>0.93078179955491303</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1.6477810778236918E-3</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0.1279832005336547</v>
      </c>
      <c r="S130" s="48">
        <f t="shared" ref="S130:S193" ca="1" si="18">($B$11*F130)/($B$11*F130+R130)</f>
        <v>0.93074439177980828</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1.6477810778236918E-3</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0.1290521803071969</v>
      </c>
      <c r="S131" s="48">
        <f t="shared" ca="1" si="18"/>
        <v>0.9307059793141701</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1.6477810778236918E-3</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0.13012432799622287</v>
      </c>
      <c r="S132" s="48">
        <f t="shared" ca="1" si="18"/>
        <v>0.93066658548220715</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1.6477810778236918E-3</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0.13119964360073255</v>
      </c>
      <c r="S133" s="48">
        <f t="shared" ca="1" si="18"/>
        <v>0.93062623290741731</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1.6477810778236918E-3</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0.13227812712072595</v>
      </c>
      <c r="S134" s="48">
        <f t="shared" ca="1" si="18"/>
        <v>0.93058494353869636</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1.6477810778236918E-3</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0.1333597785562031</v>
      </c>
      <c r="S135" s="48">
        <f t="shared" ca="1" si="18"/>
        <v>0.93054273867528781</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1.6477810778236918E-3</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0.13444459790716398</v>
      </c>
      <c r="S136" s="48">
        <f t="shared" ca="1" si="18"/>
        <v>0.93049963899063493</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1.6477810778236918E-3</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0.13553258517360861</v>
      </c>
      <c r="S137" s="48">
        <f t="shared" ca="1" si="18"/>
        <v>0.93045566455518791</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1.6477810778236918E-3</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0.13662374035553695</v>
      </c>
      <c r="S138" s="48">
        <f t="shared" ca="1" si="18"/>
        <v>0.93041083485822185</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1.6477810778236918E-3</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0.13771806345294904</v>
      </c>
      <c r="S139" s="48">
        <f t="shared" ca="1" si="18"/>
        <v>0.93036516882871378</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1.6477810778236918E-3</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0.1388155544658449</v>
      </c>
      <c r="S140" s="48">
        <f t="shared" ca="1" si="18"/>
        <v>0.93031868485532676</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1.6477810778236918E-3</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0.13991621339422444</v>
      </c>
      <c r="S141" s="48">
        <f t="shared" ca="1" si="18"/>
        <v>0.93027140080554327</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1.6477810778236918E-3</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0.14102004023808773</v>
      </c>
      <c r="S142" s="48">
        <f t="shared" ca="1" si="18"/>
        <v>0.9302233340439936</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1.6477810778236918E-3</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0.14212703499743479</v>
      </c>
      <c r="S143" s="48">
        <f t="shared" ca="1" si="18"/>
        <v>0.93017450145001368</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1.6477810778236918E-3</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0.1432371976722655</v>
      </c>
      <c r="S144" s="48">
        <f t="shared" ca="1" si="18"/>
        <v>0.93012491943447417</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1.6477810778236918E-3</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0.14435052826258002</v>
      </c>
      <c r="S145" s="48">
        <f t="shared" ca="1" si="18"/>
        <v>0.93007460395591346</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1.6477810778236918E-3</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0.14546702676837822</v>
      </c>
      <c r="S146" s="48">
        <f t="shared" ca="1" si="18"/>
        <v>0.93002357053600804</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1.6477810778236918E-3</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0.14658669318966022</v>
      </c>
      <c r="S147" s="48">
        <f t="shared" ca="1" si="18"/>
        <v>0.92997183427441332</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1.6477810778236918E-3</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0.14770952752642591</v>
      </c>
      <c r="S148" s="48">
        <f t="shared" ca="1" si="18"/>
        <v>0.92991940986300159</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1.6477810778236918E-3</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0.14883552977867534</v>
      </c>
      <c r="S149" s="48">
        <f t="shared" ca="1" si="18"/>
        <v>0.92986631159953093</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1.6477810778236918E-3</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0.14996469994640851</v>
      </c>
      <c r="S150" s="48">
        <f t="shared" ca="1" si="18"/>
        <v>0.92981255340076374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1.6477810778236918E-3</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0.15109703802962543</v>
      </c>
      <c r="S151" s="48">
        <f t="shared" ca="1" si="18"/>
        <v>0.92975814881506791</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1.6477810778236918E-3</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0.15223254402832609</v>
      </c>
      <c r="S152" s="48">
        <f t="shared" ca="1" si="18"/>
        <v>0.92970311103451941</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1.6477810778236918E-3</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0.15337121794251043</v>
      </c>
      <c r="S153" s="48">
        <f t="shared" ca="1" si="18"/>
        <v>0.92964745290653239</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1.6477810778236918E-3</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0.15451305977217855</v>
      </c>
      <c r="S154" s="48">
        <f t="shared" ca="1" si="18"/>
        <v>0.92959118694503506</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1.6477810778236918E-3</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0.15565806951733038</v>
      </c>
      <c r="S155" s="48">
        <f t="shared" ca="1" si="18"/>
        <v>0.92953432534121383</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1.6477810778236918E-3</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0.15680624717796596</v>
      </c>
      <c r="S156" s="48">
        <f t="shared" ca="1" si="18"/>
        <v>0.92947687997384654</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1.6477810778236918E-3</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0.1579575927540853</v>
      </c>
      <c r="S157" s="48">
        <f t="shared" ca="1" si="18"/>
        <v>0.92941886241923866</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1.6477810778236918E-3</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0.15911210624568833</v>
      </c>
      <c r="S158" s="48">
        <f t="shared" ca="1" si="18"/>
        <v>0.92936028396078441</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1.6477810778236918E-3</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0.16026978765277514</v>
      </c>
      <c r="S159" s="48">
        <f t="shared" ca="1" si="18"/>
        <v>0.92930115559816617</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1.6477810778236918E-3</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0.1614306369753456</v>
      </c>
      <c r="S160" s="48">
        <f t="shared" ca="1" si="18"/>
        <v>0.92924148805621132</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1.6477810778236918E-3</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0.16259465421339989</v>
      </c>
      <c r="S161" s="48">
        <f t="shared" ca="1" si="18"/>
        <v>0.9291812917934168</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1.6477810778236918E-3</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0.16376183936693783</v>
      </c>
      <c r="S162" s="48">
        <f t="shared" ca="1" si="18"/>
        <v>0.92912057701016093</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1.6477810778236918E-3</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0.16493219243595958</v>
      </c>
      <c r="S163" s="48">
        <f t="shared" ca="1" si="18"/>
        <v>0.92905935365661096</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1.6477810778236918E-3</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0.16610571342046504</v>
      </c>
      <c r="S164" s="48">
        <f t="shared" ca="1" si="18"/>
        <v>0.92899763144034342</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1.6477810778236918E-3</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0.16728240232045424</v>
      </c>
      <c r="S165" s="48">
        <f t="shared" ca="1" si="18"/>
        <v>0.92893541983368644</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1.6477810778236918E-3</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0.16846225913592713</v>
      </c>
      <c r="S166" s="48">
        <f t="shared" ca="1" si="18"/>
        <v>0.92887272808079857</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1.6477810778236918E-3</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0.16964528386688379</v>
      </c>
      <c r="S167" s="48">
        <f t="shared" ca="1" si="18"/>
        <v>0.92880956520449121</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1.6477810778236918E-3</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0.17083147651332417</v>
      </c>
      <c r="S168" s="48">
        <f t="shared" ca="1" si="18"/>
        <v>0.92874594001280986</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1.6477810778236918E-3</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0.17202083707524832</v>
      </c>
      <c r="S169" s="48">
        <f t="shared" ca="1" si="18"/>
        <v>0.92868186110538065</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1.6477810778236918E-3</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0.17321336555265621</v>
      </c>
      <c r="S170" s="48">
        <f t="shared" ca="1" si="18"/>
        <v>0.92861733687953452</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1.6477810778236918E-3</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0.17440906194554776</v>
      </c>
      <c r="S171" s="48">
        <f t="shared" ca="1" si="18"/>
        <v>0.92855237553621428</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1.6477810778236918E-3</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0.17560792625392313</v>
      </c>
      <c r="S172" s="48">
        <f t="shared" ca="1" si="18"/>
        <v>0.9284869850856784</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1.6477810778236918E-3</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0.17680995847778219</v>
      </c>
      <c r="S173" s="48">
        <f t="shared" ca="1" si="18"/>
        <v>0.92842117335300633</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1.6477810778236918E-3</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0.17801515861712497</v>
      </c>
      <c r="S174" s="48">
        <f t="shared" ca="1" si="18"/>
        <v>0.92835494798341323</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1.6477810778236918E-3</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0.17922352667195154</v>
      </c>
      <c r="S175" s="48">
        <f t="shared" ca="1" si="18"/>
        <v>0.92828831644738408</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1.6477810778236918E-3</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0.18043506264226178</v>
      </c>
      <c r="S176" s="48">
        <f t="shared" ca="1" si="18"/>
        <v>0.92822128604563237</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1.6477810778236918E-3</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0.18164976652805581</v>
      </c>
      <c r="S177" s="48">
        <f t="shared" ca="1" si="18"/>
        <v>0.92815386391389021</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1.6477810778236918E-3</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0.1828676383293335</v>
      </c>
      <c r="S178" s="48">
        <f t="shared" ca="1" si="18"/>
        <v>0.92808605702753844</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1.6477810778236918E-3</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0.18408867804609499</v>
      </c>
      <c r="S179" s="48">
        <f t="shared" ca="1" si="18"/>
        <v>0.92801787220608123</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1.6477810778236918E-3</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0.18531288567834023</v>
      </c>
      <c r="S180" s="48">
        <f t="shared" ca="1" si="18"/>
        <v>0.92794931611747034</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1.6477810778236918E-3</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0.18654026122606912</v>
      </c>
      <c r="S181" s="48">
        <f t="shared" ca="1" si="18"/>
        <v>0.92788039528228894</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1.6477810778236918E-3</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0.18777080468928184</v>
      </c>
      <c r="S182" s="48">
        <f t="shared" ca="1" si="18"/>
        <v>0.92781111607779487</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1.6477810778236918E-3</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0.18900451606797825</v>
      </c>
      <c r="S183" s="48">
        <f t="shared" ca="1" si="18"/>
        <v>0.92774148474183327</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1.6477810778236918E-3</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0.19024139536215842</v>
      </c>
      <c r="S184" s="48">
        <f t="shared" ca="1" si="18"/>
        <v>0.92767150737662085</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1.6477810778236918E-3</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0.19148144257182231</v>
      </c>
      <c r="S185" s="48">
        <f t="shared" ca="1" si="18"/>
        <v>0.92760118995240792</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1.6477810778236918E-3</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0.19272465769696989</v>
      </c>
      <c r="S186" s="48">
        <f t="shared" ca="1" si="18"/>
        <v>0.92753053831102239</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1.6477810778236918E-3</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0.19397104073760124</v>
      </c>
      <c r="S187" s="48">
        <f t="shared" ca="1" si="18"/>
        <v>0.92745955816930048</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1.6477810778236918E-3</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0.19522059169371631</v>
      </c>
      <c r="S188" s="48">
        <f t="shared" ca="1" si="18"/>
        <v>0.92738825512240675</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1.6477810778236918E-3</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0.19647331056531511</v>
      </c>
      <c r="S189" s="48">
        <f t="shared" ca="1" si="18"/>
        <v>0.92731663464705083</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1.6477810778236918E-3</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0.19772919735239769</v>
      </c>
      <c r="S190" s="48">
        <f t="shared" ca="1" si="18"/>
        <v>0.92724470210460086</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1.6477810778236918E-3</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0.19898825205496401</v>
      </c>
      <c r="S191" s="48">
        <f t="shared" ca="1" si="18"/>
        <v>0.9271724627441007</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1.6477810778236918E-3</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0.20025047467301402</v>
      </c>
      <c r="S192" s="48">
        <f t="shared" ca="1" si="18"/>
        <v>0.92709992170519162</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1.6477810778236918E-3</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0.2015158652065478</v>
      </c>
      <c r="S193" s="48">
        <f t="shared" ca="1" si="18"/>
        <v>0.92702708402094391</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1.6477810778236918E-3</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0.20278442365556526</v>
      </c>
      <c r="S194" s="48">
        <f t="shared" ref="S194:S257" ca="1" si="25">($B$11*F194)/($B$11*F194+R194)</f>
        <v>0.92695395462060148</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1.6477810778236918E-3</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0.20405615002006652</v>
      </c>
      <c r="S195" s="48">
        <f t="shared" ca="1" si="25"/>
        <v>0.92688053833224082</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1.6477810778236918E-3</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0.20533104430005145</v>
      </c>
      <c r="S196" s="48">
        <f t="shared" ca="1" si="25"/>
        <v>0.92680683988535018</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1.6477810778236918E-3</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0.20660910649552017</v>
      </c>
      <c r="S197" s="48">
        <f t="shared" ca="1" si="25"/>
        <v>0.92673286391332876</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1.6477810778236918E-3</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0.20789033660647263</v>
      </c>
      <c r="S198" s="48">
        <f t="shared" ca="1" si="25"/>
        <v>0.92665861495591151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1.6477810778236918E-3</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0.20917473463290875</v>
      </c>
      <c r="S199" s="48">
        <f t="shared" ca="1" si="25"/>
        <v>0.92658409746152015</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1.6477810778236918E-3</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0.21046230057482865</v>
      </c>
      <c r="S200" s="48">
        <f t="shared" ca="1" si="25"/>
        <v>0.92650931578954354</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1.6477810778236918E-3</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0.21175303443223226</v>
      </c>
      <c r="S201" s="48">
        <f t="shared" ca="1" si="25"/>
        <v>0.92643427421255098</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1.6477810778236918E-3</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0.21304693620511964</v>
      </c>
      <c r="S202" s="48">
        <f t="shared" ca="1" si="25"/>
        <v>0.92635897691843938</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1.6477810778236918E-3</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0.21434400589349079</v>
      </c>
      <c r="S203" s="48">
        <f t="shared" ca="1" si="25"/>
        <v>0.92628342801251584</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1.6477810778236918E-3</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0.21564424349734557</v>
      </c>
      <c r="S204" s="48">
        <f t="shared" ca="1" si="25"/>
        <v>0.92620763151952146</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1.6477810778236918E-3</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0.21694764901668412</v>
      </c>
      <c r="S205" s="48">
        <f t="shared" ca="1" si="25"/>
        <v>0.92613159138559376</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1.6477810778236918E-3</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0.21825422245150641</v>
      </c>
      <c r="S206" s="48">
        <f t="shared" ca="1" si="25"/>
        <v>0.92605531148017328</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1.6477810778236918E-3</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0.21956396380181251</v>
      </c>
      <c r="S207" s="48">
        <f t="shared" ca="1" si="25"/>
        <v>0.92597879559785434</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1.6477810778236918E-3</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0.22087687306760229</v>
      </c>
      <c r="S208" s="48">
        <f t="shared" ca="1" si="25"/>
        <v>0.92590204746018268</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1.6477810778236918E-3</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0.22219295024887575</v>
      </c>
      <c r="S209" s="48">
        <f t="shared" ca="1" si="25"/>
        <v>0.92582507071740139</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1.6477810778236918E-3</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0.22351219534563302</v>
      </c>
      <c r="S210" s="48">
        <f t="shared" ca="1" si="25"/>
        <v>0.9257478689501476</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1.6477810778236918E-3</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0.22483460835787403</v>
      </c>
      <c r="S211" s="48">
        <f t="shared" ca="1" si="25"/>
        <v>0.92567044567109991</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1.6477810778236918E-3</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0.22616018928559872</v>
      </c>
      <c r="S212" s="48">
        <f t="shared" ca="1" si="25"/>
        <v>0.9255928043265802</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1.6477810778236918E-3</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0.22748893812880716</v>
      </c>
      <c r="S213" s="48">
        <f t="shared" ca="1" si="25"/>
        <v>0.92551494829811021</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1.6477810778236918E-3</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0.22882085488749937</v>
      </c>
      <c r="S214" s="48">
        <f t="shared" ca="1" si="25"/>
        <v>0.92543688090392373</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1.6477810778236918E-3</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0.23015593956167529</v>
      </c>
      <c r="S215" s="48">
        <f t="shared" ca="1" si="25"/>
        <v>0.92535860540043713</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1.6477810778236918E-3</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0.23149419215133493</v>
      </c>
      <c r="S216" s="48">
        <f t="shared" ca="1" si="25"/>
        <v>0.92528012498368029</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1.6477810778236918E-3</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0.23283561265647837</v>
      </c>
      <c r="S217" s="48">
        <f t="shared" ca="1" si="25"/>
        <v>0.92520144279068506</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1.6477810778236918E-3</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0.23418020107710547</v>
      </c>
      <c r="S218" s="48">
        <f t="shared" ca="1" si="25"/>
        <v>0.92512256190083919</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1.6477810778236918E-3</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0.23552795741321628</v>
      </c>
      <c r="S219" s="48">
        <f t="shared" ca="1" si="25"/>
        <v>0.92504348533719971</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1.6477810778236918E-3</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0.23687888166481094</v>
      </c>
      <c r="S220" s="48">
        <f t="shared" ca="1" si="25"/>
        <v>0.92496421606777313</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1.6477810778236918E-3</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0.23823297383188924</v>
      </c>
      <c r="S221" s="48">
        <f t="shared" ca="1" si="25"/>
        <v>0.92488475700675976</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1.6477810778236918E-3</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0.23959023391445131</v>
      </c>
      <c r="S222" s="48">
        <f t="shared" ca="1" si="25"/>
        <v>0.92480511101576457</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1.6477810778236918E-3</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0.24095066191249712</v>
      </c>
      <c r="S223" s="48">
        <f t="shared" ca="1" si="25"/>
        <v>0.92472528090497519</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1.6477810778236918E-3</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0.24231425782602661</v>
      </c>
      <c r="S224" s="48">
        <f t="shared" ca="1" si="25"/>
        <v>0.92464526943430903</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1.6477810778236918E-3</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0.24368102165503988</v>
      </c>
      <c r="S225" s="48">
        <f t="shared" ca="1" si="25"/>
        <v>0.9245650793145298</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1.6477810778236918E-3</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0.24505095339953686</v>
      </c>
      <c r="S226" s="48">
        <f t="shared" ca="1" si="25"/>
        <v>0.92448471320833348</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1.6477810778236918E-3</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0.24642405305951759</v>
      </c>
      <c r="S227" s="48">
        <f t="shared" ca="1" si="25"/>
        <v>0.92440417373140682</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1.6477810778236918E-3</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0.24780032063498209</v>
      </c>
      <c r="S228" s="48">
        <f t="shared" ca="1" si="25"/>
        <v>0.92432346345345695</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1.6477810778236918E-3</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0.2491797561259303</v>
      </c>
      <c r="S229" s="48">
        <f t="shared" ca="1" si="25"/>
        <v>0.92424258489921518</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1.6477810778236918E-3</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0.25056235953236217</v>
      </c>
      <c r="S230" s="48">
        <f t="shared" ca="1" si="25"/>
        <v>0.92416154054941357</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1.6477810778236918E-3</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0.25194813085427781</v>
      </c>
      <c r="S231" s="48">
        <f t="shared" ca="1" si="25"/>
        <v>0.92408033284173663</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1.6477810778236918E-3</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0.25333707009167727</v>
      </c>
      <c r="S232" s="48">
        <f t="shared" ca="1" si="25"/>
        <v>0.9239989641717482</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1.6477810778236918E-3</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0.2547291772445604</v>
      </c>
      <c r="S233" s="48">
        <f t="shared" ca="1" si="25"/>
        <v>0.92391743689379535</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1.6477810778236918E-3</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0.2561244523129273</v>
      </c>
      <c r="S234" s="48">
        <f t="shared" ca="1" si="25"/>
        <v>0.92383575332188761</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1.6477810778236918E-3</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0.25752289529677796</v>
      </c>
      <c r="S235" s="48">
        <f t="shared" ca="1" si="25"/>
        <v>0.9237539157305551</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1.6477810778236918E-3</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0.25892450619611229</v>
      </c>
      <c r="S236" s="48">
        <f t="shared" ca="1" si="25"/>
        <v>0.92367192635568396</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1.6477810778236918E-3</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0.26032928501093033</v>
      </c>
      <c r="S237" s="48">
        <f t="shared" ca="1" si="25"/>
        <v>0.92358978739533137</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1.6477810778236918E-3</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0.2617372317412322</v>
      </c>
      <c r="S238" s="48">
        <f t="shared" ca="1" si="25"/>
        <v>0.92350750101052004</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1.6477810778236918E-3</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0.26314834638701767</v>
      </c>
      <c r="S239" s="48">
        <f t="shared" ca="1" si="25"/>
        <v>0.92342506932601143</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1.6477810778236918E-3</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0.26456262894828697</v>
      </c>
      <c r="S240" s="48">
        <f t="shared" ca="1" si="25"/>
        <v>0.92334249443106153</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1.6477810778236918E-3</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0.26598007942503998</v>
      </c>
      <c r="S241" s="48">
        <f t="shared" ca="1" si="25"/>
        <v>0.92325977838015671</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1.6477810778236918E-3</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0.26740069781727682</v>
      </c>
      <c r="S242" s="48">
        <f t="shared" ca="1" si="25"/>
        <v>0.92317692319373124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1.6477810778236918E-3</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0.26882448412499732</v>
      </c>
      <c r="S243" s="48">
        <f t="shared" ca="1" si="25"/>
        <v>0.92309393085886837</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1.6477810778236918E-3</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0.27025143834820148</v>
      </c>
      <c r="S244" s="48">
        <f t="shared" ca="1" si="25"/>
        <v>0.92301080332998253</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1.6477810778236918E-3</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0.27168156048688946</v>
      </c>
      <c r="S245" s="48">
        <f t="shared" ca="1" si="25"/>
        <v>0.9229275425294855</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1.6477810778236918E-3</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0.2731148505410611</v>
      </c>
      <c r="S246" s="48">
        <f t="shared" ca="1" si="25"/>
        <v>0.92284415034843692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1.6477810778236918E-3</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0.27455130851071657</v>
      </c>
      <c r="S247" s="48">
        <f t="shared" ca="1" si="25"/>
        <v>0.92276062864717856</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1.6477810778236918E-3</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0.27599093439585576</v>
      </c>
      <c r="S248" s="48">
        <f t="shared" ca="1" si="25"/>
        <v>0.9226769792559526</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1.6477810778236918E-3</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0.2774337281964786</v>
      </c>
      <c r="S249" s="48">
        <f t="shared" ca="1" si="25"/>
        <v>0.92259320397550637</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1.6477810778236918E-3</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0.27887968991258527</v>
      </c>
      <c r="S250" s="48">
        <f t="shared" ca="1" si="25"/>
        <v>0.92250930457768121</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1.6477810778236918E-3</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0.2803288195441756</v>
      </c>
      <c r="S251" s="48">
        <f t="shared" ca="1" si="25"/>
        <v>0.92242528280598846</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1.6477810778236918E-3</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0.2817811170912497</v>
      </c>
      <c r="S252" s="48">
        <f t="shared" ca="1" si="25"/>
        <v>0.92234114037617099</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1.6477810778236918E-3</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0.28323658255380757</v>
      </c>
      <c r="S253" s="48">
        <f t="shared" ca="1" si="25"/>
        <v>0.92225687897675135</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1.6477810778236918E-3</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0.28469521593184904</v>
      </c>
      <c r="S254" s="48">
        <f t="shared" ca="1" si="25"/>
        <v>0.92217250026956787</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1.6477810778236918E-3</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0.28615701722537434</v>
      </c>
      <c r="S255" s="48">
        <f t="shared" ca="1" si="25"/>
        <v>0.92208800589029705</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1.6477810778236918E-3</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0.28762198643438347</v>
      </c>
      <c r="S256" s="48">
        <f t="shared" ca="1" si="25"/>
        <v>0.9220033974489642</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1.6477810778236918E-3</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0.2890901235588762</v>
      </c>
      <c r="S257" s="48">
        <f t="shared" ca="1" si="25"/>
        <v>0.9219186765304429</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1.6477810778236918E-3</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0.29056142859885276</v>
      </c>
      <c r="S258" s="48">
        <f t="shared" ref="S258:S301" ca="1" si="32">($B$11*F258)/($B$11*F258+R258)</f>
        <v>0.92183384469494112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1.6477810778236918E-3</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0.29203590155431297</v>
      </c>
      <c r="S259" s="48">
        <f t="shared" ca="1" si="32"/>
        <v>0.92174890347847782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1.6477810778236918E-3</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0.29351354242525701</v>
      </c>
      <c r="S260" s="48">
        <f t="shared" ca="1" si="32"/>
        <v>0.92166385439334719</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1.6477810778236918E-3</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0.29499435121168466</v>
      </c>
      <c r="S261" s="48">
        <f t="shared" ca="1" si="32"/>
        <v>0.92157869892857414</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1.6477810778236918E-3</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0.29647832791359613</v>
      </c>
      <c r="S262" s="48">
        <f t="shared" ca="1" si="32"/>
        <v>0.92149343855035637</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1.6477810778236918E-3</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0.29796547253099132</v>
      </c>
      <c r="S263" s="48">
        <f t="shared" ca="1" si="32"/>
        <v>0.92140807470249964</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1.6477810778236918E-3</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0.29945578506387022</v>
      </c>
      <c r="S264" s="48">
        <f t="shared" ca="1" si="32"/>
        <v>0.92132260880684058</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1.6477810778236918E-3</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0.30094926551223289</v>
      </c>
      <c r="S265" s="48">
        <f t="shared" ca="1" si="32"/>
        <v>0.92123704226366177</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1.6477810778236918E-3</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0.30244591387607916</v>
      </c>
      <c r="S266" s="48">
        <f t="shared" ca="1" si="32"/>
        <v>0.92115137645209555</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1.6477810778236918E-3</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0.30394573015540932</v>
      </c>
      <c r="S267" s="48">
        <f t="shared" ca="1" si="32"/>
        <v>0.92106561273052134</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1.6477810778236918E-3</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0.30544871435022319</v>
      </c>
      <c r="S268" s="48">
        <f t="shared" ca="1" si="32"/>
        <v>0.92097975243695129</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1.6477810778236918E-3</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0.30695486646052073</v>
      </c>
      <c r="S269" s="48">
        <f t="shared" ca="1" si="32"/>
        <v>0.92089379688940931</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1.6477810778236918E-3</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0.30846418648630208</v>
      </c>
      <c r="S270" s="48">
        <f t="shared" ca="1" si="32"/>
        <v>0.92080774738630111</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1.6477810778236918E-3</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0.3099766744275671</v>
      </c>
      <c r="S271" s="48">
        <f t="shared" ca="1" si="32"/>
        <v>0.92072160520677571</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1.6477810778236918E-3</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0.31149233028431594</v>
      </c>
      <c r="S272" s="48">
        <f t="shared" ca="1" si="32"/>
        <v>0.92063537161107878</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1.6477810778236918E-3</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0.3130111540565485</v>
      </c>
      <c r="S273" s="48">
        <f t="shared" ca="1" si="32"/>
        <v>0.92054904784089975</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1.6477810778236918E-3</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0.31453314574426472</v>
      </c>
      <c r="S274" s="48">
        <f t="shared" ca="1" si="32"/>
        <v>0.92046263511970949</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1.6477810778236918E-3</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0.31605830534746471</v>
      </c>
      <c r="S275" s="48">
        <f t="shared" ca="1" si="32"/>
        <v>0.92037613465309143</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1.6477810778236918E-3</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0.31758663286614841</v>
      </c>
      <c r="S276" s="48">
        <f t="shared" ca="1" si="32"/>
        <v>0.92028954762906567</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1.6477810778236918E-3</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0.31911812830031588</v>
      </c>
      <c r="S277" s="48">
        <f t="shared" ca="1" si="32"/>
        <v>0.92020287521840582</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1.6477810778236918E-3</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0.32065279164996713</v>
      </c>
      <c r="S278" s="48">
        <f t="shared" ca="1" si="32"/>
        <v>0.92011611857494879</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1.6477810778236918E-3</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0.32219062291510203</v>
      </c>
      <c r="S279" s="48">
        <f t="shared" ca="1" si="32"/>
        <v>0.92002927883589847</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1.6477810778236918E-3</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0.32373162209572071</v>
      </c>
      <c r="S280" s="48">
        <f t="shared" ca="1" si="32"/>
        <v>0.91994235712212213</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1.6477810778236918E-3</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0.32527578919182309</v>
      </c>
      <c r="S281" s="48">
        <f t="shared" ca="1" si="32"/>
        <v>0.91985535453844203</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1.6477810778236918E-3</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0.32682312420340925</v>
      </c>
      <c r="S282" s="48">
        <f t="shared" ca="1" si="32"/>
        <v>0.91976827217391854</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1.6477810778236918E-3</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0.32837362713047913</v>
      </c>
      <c r="S283" s="48">
        <f t="shared" ca="1" si="32"/>
        <v>0.91968111110212891</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1.6477810778236918E-3</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0.32992729797303272</v>
      </c>
      <c r="S284" s="48">
        <f t="shared" ca="1" si="32"/>
        <v>0.91959387238144008</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1.6477810778236918E-3</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0.33148413673107013</v>
      </c>
      <c r="S285" s="48">
        <f t="shared" ca="1" si="32"/>
        <v>0.91950655705527462</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1.6477810778236918E-3</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0.33304414340459115</v>
      </c>
      <c r="S286" s="48">
        <f t="shared" ca="1" si="32"/>
        <v>0.9194191661523734</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1.6477810778236918E-3</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0.33460731799359594</v>
      </c>
      <c r="S287" s="48">
        <f t="shared" ca="1" si="32"/>
        <v>0.91933170068704939</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1.6477810778236918E-3</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0.3361736604980845</v>
      </c>
      <c r="S288" s="48">
        <f t="shared" ca="1" si="32"/>
        <v>0.91924416165943912</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1.6477810778236918E-3</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0.33774317091805672</v>
      </c>
      <c r="S289" s="48">
        <f t="shared" ca="1" si="32"/>
        <v>0.91915655005574759</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1.6477810778236918E-3</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0.33931584925351282</v>
      </c>
      <c r="S290" s="48">
        <f t="shared" ca="1" si="32"/>
        <v>0.91906886684848832</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1.6477810778236918E-3</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0.34089169550445242</v>
      </c>
      <c r="S291" s="48">
        <f t="shared" ca="1" si="32"/>
        <v>0.91898111299671881</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1.6477810778236918E-3</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0.34247070967087595</v>
      </c>
      <c r="S292" s="48">
        <f t="shared" ca="1" si="32"/>
        <v>0.91889328944627058</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1.6477810778236918E-3</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0.3440528917527832</v>
      </c>
      <c r="S293" s="48">
        <f t="shared" ca="1" si="32"/>
        <v>0.91880539712997467</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1.6477810778236918E-3</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0.3456382417501741</v>
      </c>
      <c r="S294" s="48">
        <f t="shared" ca="1" si="32"/>
        <v>0.91871743696788255</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1.6477810778236918E-3</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0.34722675966304889</v>
      </c>
      <c r="S295" s="48">
        <f t="shared" ca="1" si="32"/>
        <v>0.91862940986748343</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1.6477810778236918E-3</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0.34881844549140723</v>
      </c>
      <c r="S296" s="48">
        <f t="shared" ca="1" si="32"/>
        <v>0.91854131672391526</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1.6477810778236918E-3</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0.35041329923524939</v>
      </c>
      <c r="S297" s="48">
        <f t="shared" ca="1" si="32"/>
        <v>0.91845315842017361</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1.6477810778236918E-3</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0.35201132089457532</v>
      </c>
      <c r="S298" s="48">
        <f t="shared" ca="1" si="32"/>
        <v>0.91836493582731449</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1.6477810778236918E-3</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0.35361251046938486</v>
      </c>
      <c r="S299" s="48">
        <f t="shared" ca="1" si="32"/>
        <v>0.9182766498046544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1.6477810778236918E-3</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0.35521686795967833</v>
      </c>
      <c r="S300" s="48">
        <f t="shared" ca="1" si="32"/>
        <v>0.91818830119996586</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1.6477810778236918E-3</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0.35682439336545541</v>
      </c>
      <c r="S301" s="48">
        <f t="shared" ca="1" si="32"/>
        <v>0.91809989084966903</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14" t="s">
        <v>187</v>
      </c>
      <c r="B2" s="315"/>
      <c r="C2" s="315"/>
      <c r="D2" s="314" t="s">
        <v>95</v>
      </c>
      <c r="E2" s="315"/>
      <c r="F2" s="317"/>
      <c r="G2" s="316" t="s">
        <v>188</v>
      </c>
      <c r="H2" s="315"/>
      <c r="I2" s="317"/>
      <c r="J2" s="314" t="s">
        <v>96</v>
      </c>
      <c r="K2" s="315"/>
      <c r="L2" s="315"/>
      <c r="M2" s="315"/>
      <c r="N2" s="315"/>
      <c r="O2" s="315"/>
      <c r="P2" s="317"/>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752.50564195629488</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10610.329551583758</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19.500492373095579</v>
      </c>
      <c r="I4" s="78" t="s">
        <v>29</v>
      </c>
      <c r="J4" s="84" t="s">
        <v>108</v>
      </c>
      <c r="K4" s="85">
        <f ca="1">K6*Pole3</f>
        <v>17395.681743210138</v>
      </c>
      <c r="L4" s="231"/>
      <c r="M4" s="231"/>
      <c r="N4" s="231"/>
      <c r="O4" s="231"/>
      <c r="P4" s="83"/>
      <c r="Q4" s="86" t="s">
        <v>109</v>
      </c>
      <c r="R4" s="87">
        <f ca="1">MIN(V14:V614)/1000</f>
        <v>1.5849000000000002</v>
      </c>
      <c r="S4" s="78" t="s">
        <v>110</v>
      </c>
      <c r="T4" s="205">
        <f ca="1">K6</f>
        <v>0.1739568174321014</v>
      </c>
    </row>
    <row r="5" spans="1:30">
      <c r="A5" s="76" t="s">
        <v>111</v>
      </c>
      <c r="B5" s="88">
        <f>1000/(2*3.14159265*'Sheet1 select'!B7*'EZBuck design calculator'!N57)</f>
        <v>13.262911939479697</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69.017670334665183</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1591549.432737564</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30315227290239.309</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189470170563995.69</v>
      </c>
      <c r="C9" s="221" t="s">
        <v>217</v>
      </c>
      <c r="D9" s="127"/>
    </row>
    <row r="10" spans="1:30" ht="13.5" thickBot="1"/>
    <row r="11" spans="1:30" ht="15">
      <c r="A11" s="318" t="s">
        <v>118</v>
      </c>
      <c r="B11" s="307" t="s">
        <v>119</v>
      </c>
      <c r="C11" s="323"/>
      <c r="D11" s="323"/>
      <c r="E11" s="308"/>
      <c r="F11" s="307" t="s">
        <v>120</v>
      </c>
      <c r="G11" s="323"/>
      <c r="H11" s="323"/>
      <c r="I11" s="308"/>
      <c r="J11" s="206"/>
      <c r="K11" s="206"/>
      <c r="L11" s="206"/>
      <c r="M11" s="206"/>
      <c r="N11" s="206"/>
      <c r="O11" s="206"/>
      <c r="P11" s="307" t="s">
        <v>121</v>
      </c>
      <c r="Q11" s="308"/>
      <c r="R11" s="307" t="s">
        <v>122</v>
      </c>
      <c r="S11" s="321"/>
      <c r="T11" s="322"/>
      <c r="Y11" s="312" t="s">
        <v>123</v>
      </c>
      <c r="Z11" s="313"/>
      <c r="AB11" s="312" t="s">
        <v>124</v>
      </c>
      <c r="AC11" s="313"/>
    </row>
    <row r="12" spans="1:30">
      <c r="A12" s="319"/>
      <c r="B12" s="311" t="s">
        <v>107</v>
      </c>
      <c r="C12" s="309"/>
      <c r="D12" s="309" t="s">
        <v>101</v>
      </c>
      <c r="E12" s="310"/>
      <c r="F12" s="311" t="s">
        <v>111</v>
      </c>
      <c r="G12" s="309"/>
      <c r="H12" s="309" t="s">
        <v>105</v>
      </c>
      <c r="I12" s="310"/>
      <c r="J12" s="324" t="s">
        <v>117</v>
      </c>
      <c r="K12" s="325"/>
      <c r="L12" s="309" t="s">
        <v>218</v>
      </c>
      <c r="M12" s="310"/>
      <c r="N12" s="311" t="s">
        <v>219</v>
      </c>
      <c r="O12" s="309"/>
      <c r="P12" s="311" t="s">
        <v>125</v>
      </c>
      <c r="Q12" s="310"/>
      <c r="R12" s="80" t="s">
        <v>126</v>
      </c>
      <c r="S12" s="77"/>
      <c r="T12" s="78" t="s">
        <v>113</v>
      </c>
      <c r="Y12" s="80"/>
      <c r="Z12" s="78"/>
      <c r="AB12" s="80"/>
      <c r="AC12" s="78"/>
    </row>
    <row r="13" spans="1:30" ht="13.5" thickBot="1">
      <c r="A13" s="320"/>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1.0013139946999017</v>
      </c>
      <c r="C14" s="102">
        <f t="shared" ref="C14:C77" ca="1" si="1">ATAN(A14/Pole1)</f>
        <v>5.1235875965527332E-2</v>
      </c>
      <c r="D14" s="102">
        <f t="shared" ref="D14:D77" si="2">SQRT(1+(A14/Zero1)^2)</f>
        <v>1.0000008829788312</v>
      </c>
      <c r="E14" s="103">
        <f t="shared" ref="E14:E77" si="3">ATAN(A14/Zero1)</f>
        <v>1.3288929086938185E-3</v>
      </c>
      <c r="F14" s="101">
        <f t="shared" ref="F14:F77" si="4">SQRT(1+(A14/Pole2)^2)</f>
        <v>1.0028384177533465</v>
      </c>
      <c r="G14" s="104">
        <f t="shared" ref="G14:G77" si="5">ATAN(A14/Pole2)</f>
        <v>7.5255832051264057E-2</v>
      </c>
      <c r="H14" s="102">
        <f t="shared" ref="H14:H77" si="6">SQRT(1+(A14/Zero2)^2)</f>
        <v>1.000000004441322</v>
      </c>
      <c r="I14" s="103">
        <f t="shared" ref="I14:I77" si="7">ATAN(A14/Zero2)</f>
        <v>9.4247779220943528E-5</v>
      </c>
      <c r="J14" s="101">
        <f t="shared" ref="J14:J77" si="8">SQRT(1+(A14/pole4)^2)</f>
        <v>1.0000000000001974</v>
      </c>
      <c r="K14" s="104">
        <f t="shared" ref="K14:K77" si="9">ATAN(A14/pole4)</f>
        <v>6.2831852999991727E-7</v>
      </c>
      <c r="L14" s="102">
        <f t="shared" ref="L14:L77" si="10">SQRT(1+(A14/Zerofeed)^2)</f>
        <v>1</v>
      </c>
      <c r="M14" s="103">
        <f t="shared" ref="M14:M77" si="11">ATAN(A14/Zerofeed)</f>
        <v>3.2986722825000002E-14</v>
      </c>
      <c r="N14" s="101">
        <f t="shared" ref="N14:N77" si="12">SQRT(1+(A14/Polefeed)^2)</f>
        <v>1</v>
      </c>
      <c r="O14" s="104">
        <f t="shared" ref="O14:O77" si="13">ATAN(A14/Polefeed)</f>
        <v>5.2778756520000003E-15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72.160132340229438</v>
      </c>
      <c r="S14" s="108">
        <f t="shared" ref="S14:S77" ca="1" si="17">((E14+I14+M14)-(C14+G14+Q14+K14+O14))*radconv</f>
        <v>-7.1692307441819203</v>
      </c>
      <c r="T14" s="109">
        <f t="shared" ref="T14:T77" ca="1" si="18">IF(S14&gt;0,S14,S14+180)</f>
        <v>172.83076925581807</v>
      </c>
      <c r="V14" s="72">
        <f t="shared" ref="V14:V77" ca="1" si="19">IF(R14&lt;0,A14,1000000000)</f>
        <v>1000000000</v>
      </c>
      <c r="W14" s="72">
        <f t="shared" ref="W14:W77" si="20">A14^2</f>
        <v>1</v>
      </c>
      <c r="Y14" s="110">
        <f t="shared" ref="Y14:Y77" si="21">20*LOG10(((H14*L14)/(F14*J14*N14))*Aea)</f>
        <v>64.057780431708053</v>
      </c>
      <c r="Z14" s="111">
        <f t="shared" ref="Z14:Z77" si="22">(I14+M14-(G14+K14+O14))*radconv</f>
        <v>-4.3064775652241769</v>
      </c>
      <c r="AA14" s="72">
        <f t="shared" ref="AA14:AA77" si="23">IF(Z14&gt;0,Z14,Z14+180)</f>
        <v>175.69352243477582</v>
      </c>
      <c r="AB14" s="110">
        <f t="shared" ref="AB14:AB77" ca="1" si="24">20*LOG10((D14/(B14*P14))*Acs*Am)</f>
        <v>24.019952255402885</v>
      </c>
      <c r="AC14" s="111">
        <f t="shared" ref="AC14:AC77" ca="1" si="25">(E14-(C14+Q14))*radconv</f>
        <v>-2.8627531789577425</v>
      </c>
      <c r="AD14" s="72">
        <f t="shared" ref="AD14:AD77" ca="1" si="26">IF(AC14&gt;0,AC14,AC14+180)</f>
        <v>177.13724682104225</v>
      </c>
    </row>
    <row r="15" spans="1:30">
      <c r="A15" s="112">
        <v>1.0965</v>
      </c>
      <c r="B15" s="101">
        <f t="shared" ca="1" si="0"/>
        <v>1.0015796222662625</v>
      </c>
      <c r="C15" s="102">
        <f t="shared" ca="1" si="1"/>
        <v>5.6170200756150188E-2</v>
      </c>
      <c r="D15" s="102">
        <f t="shared" si="2"/>
        <v>1.0000010616161703</v>
      </c>
      <c r="E15" s="103">
        <f t="shared" si="3"/>
        <v>1.4571309008508942E-3</v>
      </c>
      <c r="F15" s="101">
        <f t="shared" si="4"/>
        <v>1.0034116879119217</v>
      </c>
      <c r="G15" s="104">
        <f t="shared" si="5"/>
        <v>8.2486561188769111E-2</v>
      </c>
      <c r="H15" s="113">
        <f t="shared" si="6"/>
        <v>1.0000000053398557</v>
      </c>
      <c r="I15" s="114">
        <f t="shared" si="7"/>
        <v>1.0334268985385996E-4</v>
      </c>
      <c r="J15" s="101">
        <f t="shared" si="8"/>
        <v>1.0000000000002374</v>
      </c>
      <c r="K15" s="104">
        <f t="shared" si="9"/>
        <v>6.8895126814489095E-7</v>
      </c>
      <c r="L15" s="102">
        <f t="shared" si="10"/>
        <v>1</v>
      </c>
      <c r="M15" s="103">
        <f t="shared" si="11"/>
        <v>3.6169941577612503E-14</v>
      </c>
      <c r="N15" s="101">
        <f t="shared" si="12"/>
        <v>1</v>
      </c>
      <c r="O15" s="104">
        <f t="shared" si="13"/>
        <v>5.7871906524180006E-15</v>
      </c>
      <c r="P15" s="105">
        <f t="shared" ca="1" si="14"/>
        <v>1.0000000018663409</v>
      </c>
      <c r="Q15" s="106">
        <f t="shared" ca="1" si="15"/>
        <v>6.3032884532256619E-5</v>
      </c>
      <c r="R15" s="107">
        <f t="shared" ca="1" si="16"/>
        <v>72.152866169284934</v>
      </c>
      <c r="S15" s="108">
        <f t="shared" ca="1" si="17"/>
        <v>-7.858689710837341</v>
      </c>
      <c r="T15" s="78">
        <f t="shared" ca="1" si="18"/>
        <v>172.14131028916265</v>
      </c>
      <c r="V15" s="72">
        <f t="shared" ca="1" si="19"/>
        <v>1000000000</v>
      </c>
      <c r="W15" s="72">
        <f t="shared" si="20"/>
        <v>1.2023122500000001</v>
      </c>
      <c r="Y15" s="110">
        <f t="shared" si="21"/>
        <v>64.0528165903375</v>
      </c>
      <c r="Z15" s="111">
        <f t="shared" si="22"/>
        <v>-4.7202502020838191</v>
      </c>
      <c r="AA15" s="72">
        <f t="shared" si="23"/>
        <v>175.27974979791617</v>
      </c>
      <c r="AB15" s="110">
        <f t="shared" ca="1" si="24"/>
        <v>24.017649925828948</v>
      </c>
      <c r="AC15" s="111">
        <f t="shared" ca="1" si="25"/>
        <v>-3.1384395087535228</v>
      </c>
      <c r="AD15" s="72">
        <f t="shared" ca="1" si="26"/>
        <v>176.86156049124648</v>
      </c>
    </row>
    <row r="16" spans="1:30">
      <c r="A16" s="112">
        <v>1.2022999999999999</v>
      </c>
      <c r="B16" s="101">
        <f t="shared" ca="1" si="0"/>
        <v>1.001898857648474</v>
      </c>
      <c r="C16" s="102">
        <f t="shared" ca="1" si="1"/>
        <v>6.1576907882483933E-2</v>
      </c>
      <c r="D16" s="102">
        <f t="shared" si="2"/>
        <v>1.00000127636798</v>
      </c>
      <c r="E16" s="103">
        <f t="shared" si="3"/>
        <v>1.5977275251037406E-3</v>
      </c>
      <c r="F16" s="101">
        <f t="shared" si="4"/>
        <v>1.0041004209407165</v>
      </c>
      <c r="G16" s="104">
        <f t="shared" si="5"/>
        <v>9.0404187757273657E-2</v>
      </c>
      <c r="H16" s="113">
        <f t="shared" si="6"/>
        <v>1.0000000064200432</v>
      </c>
      <c r="I16" s="114">
        <f t="shared" si="7"/>
        <v>1.1331410480786237E-4</v>
      </c>
      <c r="J16" s="101">
        <f t="shared" si="8"/>
        <v>1.0000000000002853</v>
      </c>
      <c r="K16" s="104">
        <f t="shared" si="9"/>
        <v>7.5542736861885621E-7</v>
      </c>
      <c r="L16" s="102">
        <f t="shared" si="10"/>
        <v>1</v>
      </c>
      <c r="M16" s="103">
        <f t="shared" si="11"/>
        <v>3.9659936852497504E-14</v>
      </c>
      <c r="N16" s="101">
        <f t="shared" si="12"/>
        <v>1</v>
      </c>
      <c r="O16" s="104">
        <f t="shared" si="13"/>
        <v>6.3455898963996E-15</v>
      </c>
      <c r="P16" s="105">
        <f t="shared" ca="1" si="14"/>
        <v>1.0000000022438789</v>
      </c>
      <c r="Q16" s="106">
        <f t="shared" ca="1" si="15"/>
        <v>6.9114853675031628E-5</v>
      </c>
      <c r="R16" s="107">
        <f t="shared" ca="1" si="16"/>
        <v>72.14414013793791</v>
      </c>
      <c r="S16" s="108">
        <f t="shared" ca="1" si="17"/>
        <v>-8.6138431640251447</v>
      </c>
      <c r="T16" s="78">
        <f t="shared" ca="1" si="18"/>
        <v>171.38615683597484</v>
      </c>
      <c r="V16" s="72">
        <f t="shared" ca="1" si="19"/>
        <v>1000000000</v>
      </c>
      <c r="W16" s="72">
        <f t="shared" si="20"/>
        <v>1.4455252899999997</v>
      </c>
      <c r="Y16" s="110">
        <f t="shared" si="21"/>
        <v>64.046856726016557</v>
      </c>
      <c r="Z16" s="111">
        <f t="shared" si="22"/>
        <v>-5.1733292775446857</v>
      </c>
      <c r="AA16" s="72">
        <f t="shared" si="23"/>
        <v>174.8266707224553</v>
      </c>
      <c r="AB16" s="110">
        <f t="shared" ca="1" si="24"/>
        <v>24.014883758802846</v>
      </c>
      <c r="AC16" s="111">
        <f t="shared" ca="1" si="25"/>
        <v>-3.4405138864804572</v>
      </c>
      <c r="AD16" s="72">
        <f t="shared" ca="1" si="26"/>
        <v>176.55948611351954</v>
      </c>
    </row>
    <row r="17" spans="1:30">
      <c r="A17" s="112">
        <v>1.3183</v>
      </c>
      <c r="B17" s="101">
        <f t="shared" ca="1" si="0"/>
        <v>1.002282506363037</v>
      </c>
      <c r="C17" s="102">
        <f t="shared" ca="1" si="1"/>
        <v>6.7500715152051444E-2</v>
      </c>
      <c r="D17" s="102">
        <f t="shared" si="2"/>
        <v>1.000001534541558</v>
      </c>
      <c r="E17" s="103">
        <f t="shared" si="3"/>
        <v>1.7518787605589684E-3</v>
      </c>
      <c r="F17" s="101">
        <f t="shared" si="4"/>
        <v>1.0049277877872267</v>
      </c>
      <c r="G17" s="104">
        <f t="shared" si="5"/>
        <v>9.9072060706415777E-2</v>
      </c>
      <c r="H17" s="113">
        <f t="shared" si="6"/>
        <v>1.0000000077186395</v>
      </c>
      <c r="I17" s="114">
        <f t="shared" si="7"/>
        <v>1.2424684707550558E-4</v>
      </c>
      <c r="J17" s="101">
        <f t="shared" si="8"/>
        <v>1.0000000000003431</v>
      </c>
      <c r="K17" s="104">
        <f t="shared" si="9"/>
        <v>8.283123180988105E-7</v>
      </c>
      <c r="L17" s="102">
        <f t="shared" si="10"/>
        <v>1</v>
      </c>
      <c r="M17" s="103">
        <f t="shared" si="11"/>
        <v>4.3486396700197507E-14</v>
      </c>
      <c r="N17" s="101">
        <f t="shared" si="12"/>
        <v>1</v>
      </c>
      <c r="O17" s="104">
        <f t="shared" si="13"/>
        <v>6.9578234720316001E-15</v>
      </c>
      <c r="P17" s="105">
        <f t="shared" ca="1" si="14"/>
        <v>1.0000000026977531</v>
      </c>
      <c r="Q17" s="106">
        <f t="shared" ca="1" si="15"/>
        <v>7.5783175225079159E-5</v>
      </c>
      <c r="R17" s="107">
        <f t="shared" ca="1" si="16"/>
        <v>72.133662886544556</v>
      </c>
      <c r="S17" s="108">
        <f t="shared" ca="1" si="17"/>
        <v>-9.4408124849989985</v>
      </c>
      <c r="T17" s="78">
        <f t="shared" ca="1" si="18"/>
        <v>170.55918751500101</v>
      </c>
      <c r="V17" s="72">
        <f t="shared" ca="1" si="19"/>
        <v>1000000000</v>
      </c>
      <c r="W17" s="72">
        <f t="shared" si="20"/>
        <v>1.7379148900000001</v>
      </c>
      <c r="Y17" s="110">
        <f t="shared" si="21"/>
        <v>64.039702614228432</v>
      </c>
      <c r="Z17" s="111">
        <f t="shared" si="22"/>
        <v>-5.6693395914622879</v>
      </c>
      <c r="AA17" s="72">
        <f t="shared" si="23"/>
        <v>174.33066040853771</v>
      </c>
      <c r="AB17" s="110">
        <f t="shared" ca="1" si="24"/>
        <v>24.011560619197635</v>
      </c>
      <c r="AC17" s="111">
        <f t="shared" ca="1" si="25"/>
        <v>-3.7714728935367097</v>
      </c>
      <c r="AD17" s="72">
        <f t="shared" ca="1" si="26"/>
        <v>176.2285271064633</v>
      </c>
    </row>
    <row r="18" spans="1:30">
      <c r="A18" s="112">
        <v>1.4454</v>
      </c>
      <c r="B18" s="101">
        <f t="shared" ca="1" si="0"/>
        <v>1.0027432139314052</v>
      </c>
      <c r="C18" s="102">
        <f t="shared" ca="1" si="1"/>
        <v>7.3985911594255646E-2</v>
      </c>
      <c r="D18" s="102">
        <f t="shared" si="2"/>
        <v>1.0000018447018515</v>
      </c>
      <c r="E18" s="103">
        <f t="shared" si="3"/>
        <v>1.920780578720949E-3</v>
      </c>
      <c r="F18" s="101">
        <f t="shared" si="4"/>
        <v>1.0059208564882176</v>
      </c>
      <c r="G18" s="104">
        <f t="shared" si="5"/>
        <v>0.10855219526449747</v>
      </c>
      <c r="H18" s="113">
        <f t="shared" si="6"/>
        <v>1.0000000092787262</v>
      </c>
      <c r="I18" s="114">
        <f t="shared" si="7"/>
        <v>1.3622573964663248E-4</v>
      </c>
      <c r="J18" s="101">
        <f t="shared" si="8"/>
        <v>1.0000000000004123</v>
      </c>
      <c r="K18" s="104">
        <f t="shared" si="9"/>
        <v>9.0817160326175028E-7</v>
      </c>
      <c r="L18" s="102">
        <f t="shared" si="10"/>
        <v>1</v>
      </c>
      <c r="M18" s="103">
        <f t="shared" si="11"/>
        <v>4.7679009171255007E-14</v>
      </c>
      <c r="N18" s="101">
        <f t="shared" si="12"/>
        <v>1</v>
      </c>
      <c r="O18" s="104">
        <f t="shared" si="13"/>
        <v>7.6286414674008009E-15</v>
      </c>
      <c r="P18" s="105">
        <f t="shared" ca="1" si="14"/>
        <v>1.0000000032430214</v>
      </c>
      <c r="Q18" s="106">
        <f t="shared" ca="1" si="15"/>
        <v>8.3089586157774367E-5</v>
      </c>
      <c r="R18" s="107">
        <f t="shared" ca="1" si="16"/>
        <v>72.121094814833128</v>
      </c>
      <c r="S18" s="108">
        <f t="shared" ca="1" si="17"/>
        <v>-10.345618071667937</v>
      </c>
      <c r="T18" s="78">
        <f t="shared" ca="1" si="18"/>
        <v>169.65438192833207</v>
      </c>
      <c r="V18" s="72">
        <f t="shared" ca="1" si="19"/>
        <v>1000000000</v>
      </c>
      <c r="W18" s="72">
        <f t="shared" si="20"/>
        <v>2.0891811599999999</v>
      </c>
      <c r="Y18" s="110">
        <f t="shared" si="21"/>
        <v>64.031123478009505</v>
      </c>
      <c r="Z18" s="111">
        <f t="shared" si="22"/>
        <v>-6.2118295270886019</v>
      </c>
      <c r="AA18" s="72">
        <f t="shared" si="23"/>
        <v>173.78817047291139</v>
      </c>
      <c r="AB18" s="110">
        <f t="shared" ca="1" si="24"/>
        <v>24.007571683705137</v>
      </c>
      <c r="AC18" s="111">
        <f t="shared" ca="1" si="25"/>
        <v>-4.1337885445793372</v>
      </c>
      <c r="AD18" s="72">
        <f t="shared" ca="1" si="26"/>
        <v>175.86621145542065</v>
      </c>
    </row>
    <row r="19" spans="1:30">
      <c r="A19" s="112">
        <v>1.5849</v>
      </c>
      <c r="B19" s="101">
        <f t="shared" ca="1" si="0"/>
        <v>1.0032973660081526</v>
      </c>
      <c r="C19" s="102">
        <f t="shared" ca="1" si="1"/>
        <v>8.1096620279945603E-2</v>
      </c>
      <c r="D19" s="102">
        <f t="shared" si="2"/>
        <v>1.000002217960118</v>
      </c>
      <c r="E19" s="103">
        <f t="shared" si="3"/>
        <v>2.1061604965335631E-3</v>
      </c>
      <c r="F19" s="101">
        <f t="shared" si="4"/>
        <v>1.0071146538787563</v>
      </c>
      <c r="G19" s="104">
        <f t="shared" si="5"/>
        <v>0.1189346583606246</v>
      </c>
      <c r="H19" s="113">
        <f t="shared" si="6"/>
        <v>1.0000000111561922</v>
      </c>
      <c r="I19" s="114">
        <f t="shared" si="7"/>
        <v>1.4937330461859181E-4</v>
      </c>
      <c r="J19" s="101">
        <f t="shared" si="8"/>
        <v>1.0000000000004958</v>
      </c>
      <c r="K19" s="104">
        <f t="shared" si="9"/>
        <v>9.9582203819667085E-7</v>
      </c>
      <c r="L19" s="102">
        <f t="shared" si="10"/>
        <v>1</v>
      </c>
      <c r="M19" s="103">
        <f t="shared" si="11"/>
        <v>5.2280657005342501E-14</v>
      </c>
      <c r="N19" s="101">
        <f t="shared" si="12"/>
        <v>1</v>
      </c>
      <c r="O19" s="104">
        <f t="shared" si="13"/>
        <v>8.3649051208548008E-15</v>
      </c>
      <c r="P19" s="105">
        <f t="shared" ca="1" si="14"/>
        <v>1.0000000038992174</v>
      </c>
      <c r="Q19" s="106">
        <f t="shared" ca="1" si="15"/>
        <v>9.1108817659957885E-5</v>
      </c>
      <c r="R19" s="107">
        <f t="shared" ca="1" si="16"/>
        <v>72.105997210030708</v>
      </c>
      <c r="S19" s="108">
        <f t="shared" ca="1" si="17"/>
        <v>-11.336992689435085</v>
      </c>
      <c r="T19" s="78">
        <f t="shared" ca="1" si="18"/>
        <v>168.66300731056492</v>
      </c>
      <c r="V19" s="72">
        <f t="shared" ca="1" si="19"/>
        <v>1000000000</v>
      </c>
      <c r="W19" s="72">
        <f t="shared" si="20"/>
        <v>2.51190801</v>
      </c>
      <c r="Y19" s="110">
        <f t="shared" si="21"/>
        <v>64.020821446938939</v>
      </c>
      <c r="Z19" s="111">
        <f t="shared" si="22"/>
        <v>-6.8059525661419054</v>
      </c>
      <c r="AA19" s="72">
        <f t="shared" si="23"/>
        <v>173.19404743385809</v>
      </c>
      <c r="AB19" s="110">
        <f t="shared" ca="1" si="24"/>
        <v>24.002776109973276</v>
      </c>
      <c r="AC19" s="111">
        <f t="shared" ca="1" si="25"/>
        <v>-4.5310401232931836</v>
      </c>
      <c r="AD19" s="72">
        <f t="shared" ca="1" si="26"/>
        <v>175.4689598767068</v>
      </c>
    </row>
    <row r="20" spans="1:30">
      <c r="A20" s="112">
        <v>1.7378</v>
      </c>
      <c r="B20" s="101">
        <f t="shared" ca="1" si="0"/>
        <v>1.0039629513727051</v>
      </c>
      <c r="C20" s="102">
        <f t="shared" ca="1" si="1"/>
        <v>8.8880909001076314E-2</v>
      </c>
      <c r="D20" s="102">
        <f t="shared" si="2"/>
        <v>1.0000026665485187</v>
      </c>
      <c r="E20" s="103">
        <f t="shared" si="3"/>
        <v>2.3093473508087703E-3</v>
      </c>
      <c r="F20" s="101">
        <f t="shared" si="4"/>
        <v>1.0085475117065466</v>
      </c>
      <c r="G20" s="104">
        <f t="shared" si="5"/>
        <v>0.13028483568942539</v>
      </c>
      <c r="H20" s="113">
        <f t="shared" si="6"/>
        <v>1.0000000134125651</v>
      </c>
      <c r="I20" s="114">
        <f t="shared" si="7"/>
        <v>1.6378378975059286E-4</v>
      </c>
      <c r="J20" s="101">
        <f t="shared" si="8"/>
        <v>1.000000000000596</v>
      </c>
      <c r="K20" s="104">
        <f t="shared" si="9"/>
        <v>1.0918919414335661E-6</v>
      </c>
      <c r="L20" s="102">
        <f t="shared" si="10"/>
        <v>1</v>
      </c>
      <c r="M20" s="103">
        <f t="shared" si="11"/>
        <v>5.7324326925285001E-14</v>
      </c>
      <c r="N20" s="101">
        <f t="shared" si="12"/>
        <v>1</v>
      </c>
      <c r="O20" s="104">
        <f t="shared" si="13"/>
        <v>9.1718923080456007E-15</v>
      </c>
      <c r="P20" s="105">
        <f t="shared" ca="1" si="14"/>
        <v>1.0000000046878459</v>
      </c>
      <c r="Q20" s="106">
        <f t="shared" ca="1" si="15"/>
        <v>9.9898355258321863E-5</v>
      </c>
      <c r="R20" s="107">
        <f t="shared" ca="1" si="16"/>
        <v>72.087891887221204</v>
      </c>
      <c r="S20" s="108">
        <f t="shared" ca="1" si="17"/>
        <v>-12.421358537198293</v>
      </c>
      <c r="T20" s="78">
        <f t="shared" ca="1" si="18"/>
        <v>167.5786414628017</v>
      </c>
      <c r="V20" s="72">
        <f t="shared" ca="1" si="19"/>
        <v>1000000000</v>
      </c>
      <c r="W20" s="72">
        <f t="shared" si="20"/>
        <v>3.0199488400000001</v>
      </c>
      <c r="Y20" s="110">
        <f t="shared" si="21"/>
        <v>64.00847252506415</v>
      </c>
      <c r="Z20" s="111">
        <f t="shared" si="22"/>
        <v>-7.4554496689703713</v>
      </c>
      <c r="AA20" s="72">
        <f t="shared" si="23"/>
        <v>172.54455033102963</v>
      </c>
      <c r="AB20" s="110">
        <f t="shared" ca="1" si="24"/>
        <v>23.99701970903855</v>
      </c>
      <c r="AC20" s="111">
        <f t="shared" ca="1" si="25"/>
        <v>-4.9659088682279204</v>
      </c>
      <c r="AD20" s="72">
        <f t="shared" ca="1" si="26"/>
        <v>175.03409113177207</v>
      </c>
    </row>
    <row r="21" spans="1:30">
      <c r="A21" s="112">
        <v>1.9055</v>
      </c>
      <c r="B21" s="101">
        <f t="shared" ca="1" si="0"/>
        <v>1.004762815448252</v>
      </c>
      <c r="C21" s="102">
        <f t="shared" ca="1" si="1"/>
        <v>9.7406245023989965E-2</v>
      </c>
      <c r="D21" s="102">
        <f t="shared" si="2"/>
        <v>1.0000032060308242</v>
      </c>
      <c r="E21" s="103">
        <f t="shared" si="3"/>
        <v>2.5322015158950619E-3</v>
      </c>
      <c r="F21" s="101">
        <f t="shared" si="4"/>
        <v>1.0102680073989703</v>
      </c>
      <c r="G21" s="104">
        <f t="shared" si="5"/>
        <v>0.14269485226703119</v>
      </c>
      <c r="H21" s="113">
        <f t="shared" si="6"/>
        <v>1.0000000161261302</v>
      </c>
      <c r="I21" s="114">
        <f t="shared" si="7"/>
        <v>1.7958914190653144E-4</v>
      </c>
      <c r="J21" s="101">
        <f t="shared" si="8"/>
        <v>1.0000000000007168</v>
      </c>
      <c r="K21" s="104">
        <f t="shared" si="9"/>
        <v>1.197260958914428E-6</v>
      </c>
      <c r="L21" s="102">
        <f t="shared" si="10"/>
        <v>1</v>
      </c>
      <c r="M21" s="103">
        <f t="shared" si="11"/>
        <v>6.2856200343037502E-14</v>
      </c>
      <c r="N21" s="101">
        <f t="shared" si="12"/>
        <v>1</v>
      </c>
      <c r="O21" s="104">
        <f t="shared" si="13"/>
        <v>1.0056992054886E-14</v>
      </c>
      <c r="P21" s="105">
        <f t="shared" ca="1" si="14"/>
        <v>1.0000000056362681</v>
      </c>
      <c r="Q21" s="106">
        <f t="shared" ca="1" si="15"/>
        <v>1.0953867869044211E-4</v>
      </c>
      <c r="R21" s="107">
        <f t="shared" ca="1" si="16"/>
        <v>72.066174476863239</v>
      </c>
      <c r="S21" s="108">
        <f t="shared" ca="1" si="17"/>
        <v>-13.607750089148855</v>
      </c>
      <c r="T21" s="78">
        <f t="shared" ca="1" si="18"/>
        <v>166.39224991085115</v>
      </c>
      <c r="V21" s="72">
        <f t="shared" ca="1" si="19"/>
        <v>1000000000</v>
      </c>
      <c r="W21" s="72">
        <f t="shared" si="20"/>
        <v>3.63093025</v>
      </c>
      <c r="Y21" s="110">
        <f t="shared" si="21"/>
        <v>63.993667788927283</v>
      </c>
      <c r="Z21" s="111">
        <f t="shared" si="22"/>
        <v>-8.165591700593497</v>
      </c>
      <c r="AA21" s="72">
        <f t="shared" si="23"/>
        <v>171.8344082994065</v>
      </c>
      <c r="AB21" s="110">
        <f t="shared" ca="1" si="24"/>
        <v>23.990107034817463</v>
      </c>
      <c r="AC21" s="111">
        <f t="shared" ca="1" si="25"/>
        <v>-5.4421583885553595</v>
      </c>
      <c r="AD21" s="72">
        <f t="shared" ca="1" si="26"/>
        <v>174.55784161144464</v>
      </c>
    </row>
    <row r="22" spans="1:30">
      <c r="A22" s="112">
        <v>2.0893000000000002</v>
      </c>
      <c r="B22" s="101">
        <f t="shared" ca="1" si="0"/>
        <v>1.0057232070107687</v>
      </c>
      <c r="C22" s="102">
        <f t="shared" ca="1" si="1"/>
        <v>0.10673372234132504</v>
      </c>
      <c r="D22" s="102">
        <f t="shared" si="2"/>
        <v>1.0000038543509424</v>
      </c>
      <c r="E22" s="103">
        <f t="shared" si="3"/>
        <v>2.7764504542264687E-3</v>
      </c>
      <c r="F22" s="101">
        <f t="shared" si="4"/>
        <v>1.0123317371640148</v>
      </c>
      <c r="G22" s="104">
        <f t="shared" si="5"/>
        <v>0.15624551260267439</v>
      </c>
      <c r="H22" s="113">
        <f t="shared" si="6"/>
        <v>1.0000000193871452</v>
      </c>
      <c r="I22" s="114">
        <f t="shared" si="7"/>
        <v>1.9691188316431054E-4</v>
      </c>
      <c r="J22" s="101">
        <f t="shared" si="8"/>
        <v>1.0000000000008615</v>
      </c>
      <c r="K22" s="104">
        <f t="shared" si="9"/>
        <v>1.3127459047282459E-6</v>
      </c>
      <c r="L22" s="102">
        <f t="shared" si="10"/>
        <v>1</v>
      </c>
      <c r="M22" s="103">
        <f t="shared" si="11"/>
        <v>6.8919159998272506E-14</v>
      </c>
      <c r="N22" s="101">
        <f t="shared" si="12"/>
        <v>1</v>
      </c>
      <c r="O22" s="104">
        <f t="shared" si="13"/>
        <v>1.1027065599723602E-14</v>
      </c>
      <c r="P22" s="105">
        <f t="shared" ca="1" si="14"/>
        <v>1.0000000067760302</v>
      </c>
      <c r="Q22" s="106">
        <f t="shared" ca="1" si="15"/>
        <v>1.2010451913914739E-4</v>
      </c>
      <c r="R22" s="107">
        <f t="shared" ca="1" si="16"/>
        <v>72.040156734613021</v>
      </c>
      <c r="S22" s="108">
        <f t="shared" ca="1" si="17"/>
        <v>-14.904195862849063</v>
      </c>
      <c r="T22" s="78">
        <f t="shared" ca="1" si="18"/>
        <v>165.09580413715094</v>
      </c>
      <c r="V22" s="72">
        <f t="shared" ca="1" si="19"/>
        <v>1000000000</v>
      </c>
      <c r="W22" s="72">
        <f t="shared" si="20"/>
        <v>4.3651744900000002</v>
      </c>
      <c r="Y22" s="110">
        <f t="shared" si="21"/>
        <v>63.975942772786908</v>
      </c>
      <c r="Z22" s="111">
        <f t="shared" si="22"/>
        <v>-8.9410014451632485</v>
      </c>
      <c r="AA22" s="72">
        <f t="shared" si="23"/>
        <v>171.05899855483676</v>
      </c>
      <c r="AB22" s="110">
        <f t="shared" ca="1" si="24"/>
        <v>23.981814308707627</v>
      </c>
      <c r="AC22" s="111">
        <f t="shared" ca="1" si="25"/>
        <v>-5.9631944176858145</v>
      </c>
      <c r="AD22" s="72">
        <f t="shared" ca="1" si="26"/>
        <v>174.03680558231417</v>
      </c>
    </row>
    <row r="23" spans="1:30">
      <c r="A23" s="112">
        <v>2.2909000000000002</v>
      </c>
      <c r="B23" s="101">
        <f t="shared" ca="1" si="0"/>
        <v>1.0068770209910927</v>
      </c>
      <c r="C23" s="102">
        <f t="shared" ca="1" si="1"/>
        <v>0.11694306062072313</v>
      </c>
      <c r="D23" s="102">
        <f t="shared" si="2"/>
        <v>1.0000046340609507</v>
      </c>
      <c r="E23" s="103">
        <f t="shared" si="3"/>
        <v>3.0443531514534354E-3</v>
      </c>
      <c r="F23" s="101">
        <f t="shared" si="4"/>
        <v>1.0148081496062478</v>
      </c>
      <c r="G23" s="104">
        <f t="shared" si="5"/>
        <v>0.17104207024659332</v>
      </c>
      <c r="H23" s="113">
        <f t="shared" si="6"/>
        <v>1.0000000233090469</v>
      </c>
      <c r="I23" s="114">
        <f t="shared" si="7"/>
        <v>2.159122347014111E-4</v>
      </c>
      <c r="J23" s="101">
        <f t="shared" si="8"/>
        <v>1.0000000000010361</v>
      </c>
      <c r="K23" s="104">
        <f t="shared" si="9"/>
        <v>1.4394149203760058E-6</v>
      </c>
      <c r="L23" s="102">
        <f t="shared" si="10"/>
        <v>1</v>
      </c>
      <c r="M23" s="103">
        <f t="shared" si="11"/>
        <v>7.5569283319792507E-14</v>
      </c>
      <c r="N23" s="101">
        <f t="shared" si="12"/>
        <v>1</v>
      </c>
      <c r="O23" s="104">
        <f t="shared" si="13"/>
        <v>1.2091085331166802E-14</v>
      </c>
      <c r="P23" s="105">
        <f t="shared" ca="1" si="14"/>
        <v>1.0000000081467801</v>
      </c>
      <c r="Q23" s="106">
        <f t="shared" ca="1" si="15"/>
        <v>1.3169360199709605E-4</v>
      </c>
      <c r="R23" s="107">
        <f t="shared" ca="1" si="16"/>
        <v>72.008982494841632</v>
      </c>
      <c r="S23" s="108">
        <f t="shared" ca="1" si="17"/>
        <v>-16.321161093129884</v>
      </c>
      <c r="T23" s="78">
        <f t="shared" ca="1" si="18"/>
        <v>163.67883890687011</v>
      </c>
      <c r="V23" s="72">
        <f t="shared" ca="1" si="19"/>
        <v>1000000000</v>
      </c>
      <c r="W23" s="72">
        <f t="shared" si="20"/>
        <v>5.2482228100000006</v>
      </c>
      <c r="Y23" s="110">
        <f t="shared" si="21"/>
        <v>63.954720930637492</v>
      </c>
      <c r="Z23" s="111">
        <f t="shared" si="22"/>
        <v>-9.7877003680966652</v>
      </c>
      <c r="AA23" s="72">
        <f t="shared" si="23"/>
        <v>170.21229963190333</v>
      </c>
      <c r="AB23" s="110">
        <f t="shared" ca="1" si="24"/>
        <v>23.971861911085647</v>
      </c>
      <c r="AC23" s="111">
        <f t="shared" ca="1" si="25"/>
        <v>-6.5334607250332146</v>
      </c>
      <c r="AD23" s="72">
        <f t="shared" ca="1" si="26"/>
        <v>173.46653927496678</v>
      </c>
    </row>
    <row r="24" spans="1:30">
      <c r="A24" s="112">
        <v>2.5118999999999998</v>
      </c>
      <c r="B24" s="101">
        <f t="shared" ca="1" si="0"/>
        <v>1.0082621511202927</v>
      </c>
      <c r="C24" s="102">
        <f t="shared" ca="1" si="1"/>
        <v>0.12810670062535615</v>
      </c>
      <c r="D24" s="102">
        <f t="shared" si="2"/>
        <v>1.0000055712669136</v>
      </c>
      <c r="E24" s="103">
        <f t="shared" si="3"/>
        <v>3.3380356642411725E-3</v>
      </c>
      <c r="F24" s="101">
        <f t="shared" si="4"/>
        <v>1.0177768084808954</v>
      </c>
      <c r="G24" s="104">
        <f t="shared" si="5"/>
        <v>0.18717583543519253</v>
      </c>
      <c r="H24" s="113">
        <f t="shared" si="6"/>
        <v>1.0000000280231496</v>
      </c>
      <c r="I24" s="114">
        <f t="shared" si="7"/>
        <v>2.3674099290323116E-4</v>
      </c>
      <c r="J24" s="101">
        <f t="shared" si="8"/>
        <v>1.0000000000012454</v>
      </c>
      <c r="K24" s="104">
        <f t="shared" si="9"/>
        <v>1.5782733155056893E-6</v>
      </c>
      <c r="L24" s="102">
        <f t="shared" si="10"/>
        <v>1</v>
      </c>
      <c r="M24" s="103">
        <f t="shared" si="11"/>
        <v>8.2859349064117501E-14</v>
      </c>
      <c r="N24" s="101">
        <f t="shared" si="12"/>
        <v>1</v>
      </c>
      <c r="O24" s="104">
        <f t="shared" si="13"/>
        <v>1.32574958502588E-14</v>
      </c>
      <c r="P24" s="105">
        <f t="shared" ca="1" si="14"/>
        <v>1.0000000097944133</v>
      </c>
      <c r="Q24" s="106">
        <f t="shared" ca="1" si="15"/>
        <v>1.4439790410094295E-4</v>
      </c>
      <c r="R24" s="107">
        <f t="shared" ca="1" si="16"/>
        <v>71.971677871260198</v>
      </c>
      <c r="S24" s="108">
        <f t="shared" ca="1" si="17"/>
        <v>-17.867902894582844</v>
      </c>
      <c r="T24" s="78">
        <f t="shared" ca="1" si="18"/>
        <v>162.13209710541716</v>
      </c>
      <c r="V24" s="72">
        <f t="shared" ca="1" si="19"/>
        <v>1000000000</v>
      </c>
      <c r="W24" s="72">
        <f t="shared" si="20"/>
        <v>6.309641609999999</v>
      </c>
      <c r="Y24" s="110">
        <f t="shared" si="21"/>
        <v>63.92934888409247</v>
      </c>
      <c r="Z24" s="111">
        <f t="shared" si="22"/>
        <v>-10.71091157817559</v>
      </c>
      <c r="AA24" s="72">
        <f t="shared" si="23"/>
        <v>169.2890884218244</v>
      </c>
      <c r="AB24" s="110">
        <f t="shared" ca="1" si="24"/>
        <v>23.959929334049228</v>
      </c>
      <c r="AC24" s="111">
        <f t="shared" ca="1" si="25"/>
        <v>-7.1569913164072565</v>
      </c>
      <c r="AD24" s="72">
        <f t="shared" ca="1" si="26"/>
        <v>172.84300868359276</v>
      </c>
    </row>
    <row r="25" spans="1:30">
      <c r="A25" s="112">
        <v>2.7542</v>
      </c>
      <c r="B25" s="101">
        <f t="shared" ca="1" si="0"/>
        <v>1.0099247595441456</v>
      </c>
      <c r="C25" s="102">
        <f t="shared" ca="1" si="1"/>
        <v>0.1403094061503003</v>
      </c>
      <c r="D25" s="102">
        <f t="shared" si="2"/>
        <v>1.0000066979203228</v>
      </c>
      <c r="E25" s="103">
        <f t="shared" si="3"/>
        <v>3.6600226605913657E-3</v>
      </c>
      <c r="F25" s="101">
        <f t="shared" si="4"/>
        <v>1.0213341362954684</v>
      </c>
      <c r="G25" s="104">
        <f t="shared" si="5"/>
        <v>0.20475169159519244</v>
      </c>
      <c r="H25" s="113">
        <f t="shared" si="6"/>
        <v>1.0000000336901698</v>
      </c>
      <c r="I25" s="114">
        <f t="shared" si="7"/>
        <v>2.5957722846876613E-4</v>
      </c>
      <c r="J25" s="101">
        <f t="shared" si="8"/>
        <v>1.0000000000014975</v>
      </c>
      <c r="K25" s="104">
        <f t="shared" si="9"/>
        <v>1.7305148953242723E-6</v>
      </c>
      <c r="L25" s="102">
        <f t="shared" si="10"/>
        <v>1</v>
      </c>
      <c r="M25" s="103">
        <f t="shared" si="11"/>
        <v>9.0852032004615012E-14</v>
      </c>
      <c r="N25" s="101">
        <f t="shared" si="12"/>
        <v>1</v>
      </c>
      <c r="O25" s="104">
        <f t="shared" si="13"/>
        <v>1.4536325120738402E-14</v>
      </c>
      <c r="P25" s="105">
        <f t="shared" ca="1" si="14"/>
        <v>1.000000011775102</v>
      </c>
      <c r="Q25" s="106">
        <f t="shared" ca="1" si="15"/>
        <v>1.5832664794242796E-4</v>
      </c>
      <c r="R25" s="107">
        <f t="shared" ca="1" si="16"/>
        <v>71.927070648843284</v>
      </c>
      <c r="S25" s="108">
        <f t="shared" ca="1" si="17"/>
        <v>-19.555138666196882</v>
      </c>
      <c r="T25" s="78">
        <f t="shared" ca="1" si="18"/>
        <v>160.44486133380312</v>
      </c>
      <c r="V25" s="72">
        <f t="shared" ca="1" si="19"/>
        <v>1000000000</v>
      </c>
      <c r="W25" s="72">
        <f t="shared" si="20"/>
        <v>7.5856176399999997</v>
      </c>
      <c r="Y25" s="110">
        <f t="shared" si="21"/>
        <v>63.899042992158918</v>
      </c>
      <c r="Z25" s="111">
        <f t="shared" si="22"/>
        <v>-11.716634261503533</v>
      </c>
      <c r="AA25" s="72">
        <f t="shared" si="23"/>
        <v>168.28336573849646</v>
      </c>
      <c r="AB25" s="110">
        <f t="shared" ca="1" si="24"/>
        <v>23.945628003565879</v>
      </c>
      <c r="AC25" s="111">
        <f t="shared" ca="1" si="25"/>
        <v>-7.8385044046933459</v>
      </c>
      <c r="AD25" s="72">
        <f t="shared" ca="1" si="26"/>
        <v>172.16149559530666</v>
      </c>
    </row>
    <row r="26" spans="1:30">
      <c r="A26" s="112">
        <v>3.02</v>
      </c>
      <c r="B26" s="101">
        <f t="shared" ca="1" si="0"/>
        <v>1.0119209759863128</v>
      </c>
      <c r="C26" s="102">
        <f t="shared" ca="1" si="1"/>
        <v>0.15364728162048802</v>
      </c>
      <c r="D26" s="102">
        <f t="shared" si="2"/>
        <v>1.0000080530912603</v>
      </c>
      <c r="E26" s="103">
        <f t="shared" si="3"/>
        <v>4.013237400696759E-3</v>
      </c>
      <c r="F26" s="101">
        <f t="shared" si="4"/>
        <v>1.0255966507890972</v>
      </c>
      <c r="G26" s="104">
        <f t="shared" si="5"/>
        <v>0.22388535581666452</v>
      </c>
      <c r="H26" s="113">
        <f t="shared" si="6"/>
        <v>1.000000040506632</v>
      </c>
      <c r="I26" s="114">
        <f t="shared" si="7"/>
        <v>2.8462828640377785E-4</v>
      </c>
      <c r="J26" s="101">
        <f t="shared" si="8"/>
        <v>1.0000000000018003</v>
      </c>
      <c r="K26" s="104">
        <f t="shared" si="9"/>
        <v>1.8975219605977224E-6</v>
      </c>
      <c r="L26" s="102">
        <f t="shared" si="10"/>
        <v>1</v>
      </c>
      <c r="M26" s="103">
        <f t="shared" si="11"/>
        <v>9.9619902931500009E-14</v>
      </c>
      <c r="N26" s="101">
        <f t="shared" si="12"/>
        <v>1</v>
      </c>
      <c r="O26" s="104">
        <f t="shared" si="13"/>
        <v>1.593918446904E-14</v>
      </c>
      <c r="P26" s="105">
        <f t="shared" ca="1" si="14"/>
        <v>1.0000000141575343</v>
      </c>
      <c r="Q26" s="106">
        <f t="shared" ca="1" si="15"/>
        <v>1.7360630166696675E-4</v>
      </c>
      <c r="R26" s="107">
        <f t="shared" ca="1" si="16"/>
        <v>71.873755956061089</v>
      </c>
      <c r="S26" s="108">
        <f t="shared" ca="1" si="17"/>
        <v>-21.394832841631221</v>
      </c>
      <c r="T26" s="78">
        <f t="shared" ca="1" si="18"/>
        <v>158.60516715836877</v>
      </c>
      <c r="V26" s="72">
        <f t="shared" ca="1" si="19"/>
        <v>1000000000</v>
      </c>
      <c r="W26" s="72">
        <f t="shared" si="20"/>
        <v>9.1204000000000001</v>
      </c>
      <c r="Y26" s="110">
        <f t="shared" si="21"/>
        <v>63.862868126229415</v>
      </c>
      <c r="Z26" s="111">
        <f t="shared" si="22"/>
        <v>-12.811486718172954</v>
      </c>
      <c r="AA26" s="72">
        <f t="shared" si="23"/>
        <v>167.18851328182706</v>
      </c>
      <c r="AB26" s="110">
        <f t="shared" ca="1" si="24"/>
        <v>23.928488176713177</v>
      </c>
      <c r="AC26" s="111">
        <f t="shared" ca="1" si="25"/>
        <v>-8.5833461234582646</v>
      </c>
      <c r="AD26" s="72">
        <f t="shared" ca="1" si="26"/>
        <v>171.41665387654174</v>
      </c>
    </row>
    <row r="27" spans="1:30">
      <c r="A27" s="112">
        <v>3.3113000000000001</v>
      </c>
      <c r="B27" s="101">
        <f t="shared" ca="1" si="0"/>
        <v>1.0143145799252713</v>
      </c>
      <c r="C27" s="102">
        <f t="shared" ca="1" si="1"/>
        <v>0.16820156992605212</v>
      </c>
      <c r="D27" s="102">
        <f t="shared" si="2"/>
        <v>1.0000096815621875</v>
      </c>
      <c r="E27" s="103">
        <f t="shared" si="3"/>
        <v>4.4003372774259033E-3</v>
      </c>
      <c r="F27" s="101">
        <f t="shared" si="4"/>
        <v>1.0306954838201747</v>
      </c>
      <c r="G27" s="104">
        <f t="shared" si="5"/>
        <v>0.24466441521043611</v>
      </c>
      <c r="H27" s="113">
        <f t="shared" si="6"/>
        <v>1.000000048697796</v>
      </c>
      <c r="I27" s="114">
        <f t="shared" si="7"/>
        <v>3.1208266212652487E-4</v>
      </c>
      <c r="J27" s="101">
        <f t="shared" si="8"/>
        <v>1.0000000000021645</v>
      </c>
      <c r="K27" s="104">
        <f t="shared" si="9"/>
        <v>2.0805511483859979E-6</v>
      </c>
      <c r="L27" s="102">
        <f t="shared" si="10"/>
        <v>1</v>
      </c>
      <c r="M27" s="103">
        <f t="shared" si="11"/>
        <v>1.0922893529042251E-13</v>
      </c>
      <c r="N27" s="101">
        <f t="shared" si="12"/>
        <v>1</v>
      </c>
      <c r="O27" s="104">
        <f t="shared" si="13"/>
        <v>1.7476629646467602E-14</v>
      </c>
      <c r="P27" s="105">
        <f t="shared" ca="1" si="14"/>
        <v>1.0000000170204402</v>
      </c>
      <c r="Q27" s="106">
        <f t="shared" ca="1" si="15"/>
        <v>1.9035183630727908E-4</v>
      </c>
      <c r="R27" s="107">
        <f t="shared" ca="1" si="16"/>
        <v>71.810173169214949</v>
      </c>
      <c r="S27" s="108">
        <f t="shared" ca="1" si="17"/>
        <v>-23.396502269374082</v>
      </c>
      <c r="T27" s="78">
        <f t="shared" ca="1" si="18"/>
        <v>156.60349773062592</v>
      </c>
      <c r="V27" s="72">
        <f t="shared" ca="1" si="19"/>
        <v>1000000000</v>
      </c>
      <c r="W27" s="72">
        <f t="shared" si="20"/>
        <v>10.964707690000001</v>
      </c>
      <c r="Y27" s="110">
        <f t="shared" si="21"/>
        <v>63.819792613886001</v>
      </c>
      <c r="Z27" s="111">
        <f t="shared" si="22"/>
        <v>-14.000476591987798</v>
      </c>
      <c r="AA27" s="72">
        <f t="shared" si="23"/>
        <v>165.99952340801221</v>
      </c>
      <c r="AB27" s="110">
        <f t="shared" ca="1" si="24"/>
        <v>23.907980902210451</v>
      </c>
      <c r="AC27" s="111">
        <f t="shared" ca="1" si="25"/>
        <v>-9.3960256773862856</v>
      </c>
      <c r="AD27" s="72">
        <f t="shared" ca="1" si="26"/>
        <v>170.60397432261371</v>
      </c>
    </row>
    <row r="28" spans="1:30">
      <c r="A28" s="112">
        <v>3.6307999999999998</v>
      </c>
      <c r="B28" s="101">
        <f t="shared" ca="1" si="0"/>
        <v>1.0171857153907582</v>
      </c>
      <c r="C28" s="102">
        <f t="shared" ca="1" si="1"/>
        <v>0.18408230568085346</v>
      </c>
      <c r="D28" s="102">
        <f t="shared" si="2"/>
        <v>1.00001163999006</v>
      </c>
      <c r="E28" s="103">
        <f t="shared" si="3"/>
        <v>4.8249097718479307E-3</v>
      </c>
      <c r="F28" s="101">
        <f t="shared" si="4"/>
        <v>1.0367942305465567</v>
      </c>
      <c r="G28" s="104">
        <f t="shared" si="5"/>
        <v>0.26720918586697989</v>
      </c>
      <c r="H28" s="113">
        <f t="shared" si="6"/>
        <v>1.0000000585486517</v>
      </c>
      <c r="I28" s="114">
        <f t="shared" si="7"/>
        <v>3.42194824451903E-4</v>
      </c>
      <c r="J28" s="101">
        <f t="shared" si="8"/>
        <v>1.0000000000026021</v>
      </c>
      <c r="K28" s="104">
        <f t="shared" si="9"/>
        <v>2.2812989187200426E-6</v>
      </c>
      <c r="L28" s="102">
        <f t="shared" si="10"/>
        <v>1</v>
      </c>
      <c r="M28" s="103">
        <f t="shared" si="11"/>
        <v>1.1976819323301002E-13</v>
      </c>
      <c r="N28" s="101">
        <f t="shared" si="12"/>
        <v>1</v>
      </c>
      <c r="O28" s="104">
        <f t="shared" si="13"/>
        <v>1.9162910917281601E-14</v>
      </c>
      <c r="P28" s="105">
        <f t="shared" ca="1" si="14"/>
        <v>1.0000000204634278</v>
      </c>
      <c r="Q28" s="106">
        <f t="shared" ca="1" si="15"/>
        <v>2.0871846275758756E-4</v>
      </c>
      <c r="R28" s="107">
        <f t="shared" ca="1" si="16"/>
        <v>71.734394571661099</v>
      </c>
      <c r="S28" s="108">
        <f t="shared" ca="1" si="17"/>
        <v>-25.573133935222202</v>
      </c>
      <c r="T28" s="78">
        <f t="shared" ca="1" si="18"/>
        <v>154.42686606477781</v>
      </c>
      <c r="V28" s="72">
        <f t="shared" ca="1" si="19"/>
        <v>1000000000</v>
      </c>
      <c r="W28" s="72">
        <f t="shared" si="20"/>
        <v>13.182708639999998</v>
      </c>
      <c r="Y28" s="110">
        <f t="shared" si="21"/>
        <v>63.768548725386665</v>
      </c>
      <c r="Z28" s="111">
        <f t="shared" si="22"/>
        <v>-15.290483004358409</v>
      </c>
      <c r="AA28" s="72">
        <f t="shared" si="23"/>
        <v>164.70951699564159</v>
      </c>
      <c r="AB28" s="110">
        <f t="shared" ca="1" si="24"/>
        <v>23.88344619315593</v>
      </c>
      <c r="AC28" s="111">
        <f t="shared" ca="1" si="25"/>
        <v>-10.282650930863795</v>
      </c>
      <c r="AD28" s="72">
        <f t="shared" ca="1" si="26"/>
        <v>169.71734906913622</v>
      </c>
    </row>
    <row r="29" spans="1:30">
      <c r="A29" s="112">
        <v>3.9811000000000001</v>
      </c>
      <c r="B29" s="101">
        <f t="shared" ca="1" si="0"/>
        <v>1.020626661426393</v>
      </c>
      <c r="C29" s="102">
        <f t="shared" ca="1" si="1"/>
        <v>0.20138640791718929</v>
      </c>
      <c r="D29" s="102">
        <f t="shared" si="2"/>
        <v>1.0000139943785642</v>
      </c>
      <c r="E29" s="103">
        <f t="shared" si="3"/>
        <v>5.2904093157369204E-3</v>
      </c>
      <c r="F29" s="101">
        <f t="shared" si="4"/>
        <v>1.0440788997791464</v>
      </c>
      <c r="G29" s="104">
        <f t="shared" si="5"/>
        <v>0.29161079467706214</v>
      </c>
      <c r="H29" s="113">
        <f t="shared" si="6"/>
        <v>1.0000000703912075</v>
      </c>
      <c r="I29" s="114">
        <f t="shared" si="7"/>
        <v>3.7520981735980196E-4</v>
      </c>
      <c r="J29" s="101">
        <f t="shared" si="8"/>
        <v>1.0000000000031286</v>
      </c>
      <c r="K29" s="104">
        <f t="shared" si="9"/>
        <v>2.5013988997777832E-6</v>
      </c>
      <c r="L29" s="102">
        <f t="shared" si="10"/>
        <v>1</v>
      </c>
      <c r="M29" s="103">
        <f t="shared" si="11"/>
        <v>1.3132344223860752E-13</v>
      </c>
      <c r="N29" s="101">
        <f t="shared" si="12"/>
        <v>1</v>
      </c>
      <c r="O29" s="104">
        <f t="shared" si="13"/>
        <v>2.1011750758177202E-14</v>
      </c>
      <c r="P29" s="105">
        <f t="shared" ca="1" si="14"/>
        <v>1.0000000246025376</v>
      </c>
      <c r="Q29" s="106">
        <f t="shared" ca="1" si="15"/>
        <v>2.2885564334725544E-4</v>
      </c>
      <c r="R29" s="107">
        <f t="shared" ca="1" si="16"/>
        <v>71.644267015951769</v>
      </c>
      <c r="S29" s="108">
        <f t="shared" ca="1" si="17"/>
        <v>-27.935298769747391</v>
      </c>
      <c r="T29" s="78">
        <f t="shared" ca="1" si="18"/>
        <v>152.06470123025261</v>
      </c>
      <c r="V29" s="72">
        <f t="shared" ca="1" si="19"/>
        <v>1000000000</v>
      </c>
      <c r="W29" s="72">
        <f t="shared" si="20"/>
        <v>15.849157210000001</v>
      </c>
      <c r="Y29" s="110">
        <f t="shared" si="21"/>
        <v>63.70773388420421</v>
      </c>
      <c r="Z29" s="111">
        <f t="shared" si="22"/>
        <v>-16.686713195145948</v>
      </c>
      <c r="AA29" s="72">
        <f t="shared" si="23"/>
        <v>163.31328680485404</v>
      </c>
      <c r="AB29" s="110">
        <f t="shared" ca="1" si="24"/>
        <v>23.854133478629066</v>
      </c>
      <c r="AC29" s="111">
        <f t="shared" ca="1" si="25"/>
        <v>-11.248585574601446</v>
      </c>
      <c r="AD29" s="72">
        <f t="shared" ca="1" si="26"/>
        <v>168.75141442539856</v>
      </c>
    </row>
    <row r="30" spans="1:30">
      <c r="A30" s="112">
        <v>4.3651999999999997</v>
      </c>
      <c r="B30" s="101">
        <f t="shared" ca="1" si="0"/>
        <v>1.0247483407539881</v>
      </c>
      <c r="C30" s="102">
        <f t="shared" ca="1" si="1"/>
        <v>0.22022030846053475</v>
      </c>
      <c r="D30" s="102">
        <f t="shared" si="2"/>
        <v>1.0000168250019432</v>
      </c>
      <c r="E30" s="103">
        <f t="shared" si="3"/>
        <v>5.8008216738808073E-3</v>
      </c>
      <c r="F30" s="101">
        <f t="shared" si="4"/>
        <v>1.0527703713302881</v>
      </c>
      <c r="G30" s="104">
        <f t="shared" si="5"/>
        <v>0.31796128543133906</v>
      </c>
      <c r="H30" s="113">
        <f t="shared" si="6"/>
        <v>1.0000000846292578</v>
      </c>
      <c r="I30" s="114">
        <f t="shared" si="7"/>
        <v>4.1141038386182977E-4</v>
      </c>
      <c r="J30" s="101">
        <f t="shared" si="8"/>
        <v>1.0000000000037614</v>
      </c>
      <c r="K30" s="104">
        <f t="shared" si="9"/>
        <v>2.7427360471491223E-6</v>
      </c>
      <c r="L30" s="102">
        <f t="shared" si="10"/>
        <v>1</v>
      </c>
      <c r="M30" s="103">
        <f t="shared" si="11"/>
        <v>1.4399364247569001E-13</v>
      </c>
      <c r="N30" s="101">
        <f t="shared" si="12"/>
        <v>1</v>
      </c>
      <c r="O30" s="104">
        <f t="shared" si="13"/>
        <v>2.30389827961104E-14</v>
      </c>
      <c r="P30" s="105">
        <f t="shared" ca="1" si="14"/>
        <v>1.0000000295789002</v>
      </c>
      <c r="Q30" s="106">
        <f t="shared" ca="1" si="15"/>
        <v>2.5093583460147531E-4</v>
      </c>
      <c r="R30" s="107">
        <f t="shared" ca="1" si="16"/>
        <v>71.537278690642907</v>
      </c>
      <c r="S30" s="108">
        <f t="shared" ca="1" si="17"/>
        <v>-30.494134009652264</v>
      </c>
      <c r="T30" s="78">
        <f t="shared" ca="1" si="18"/>
        <v>149.50586599034773</v>
      </c>
      <c r="V30" s="72">
        <f t="shared" ca="1" si="19"/>
        <v>1000000000</v>
      </c>
      <c r="W30" s="72">
        <f t="shared" si="20"/>
        <v>19.054971039999998</v>
      </c>
      <c r="Y30" s="110">
        <f t="shared" si="21"/>
        <v>63.635727310884647</v>
      </c>
      <c r="Z30" s="111">
        <f t="shared" si="22"/>
        <v>-18.194424793110148</v>
      </c>
      <c r="AA30" s="72">
        <f t="shared" si="23"/>
        <v>161.80557520688984</v>
      </c>
      <c r="AB30" s="110">
        <f t="shared" ca="1" si="24"/>
        <v>23.819151726639763</v>
      </c>
      <c r="AC30" s="111">
        <f t="shared" ca="1" si="25"/>
        <v>-12.299709216542118</v>
      </c>
      <c r="AD30" s="72">
        <f t="shared" ca="1" si="26"/>
        <v>167.70029078345789</v>
      </c>
    </row>
    <row r="31" spans="1:30">
      <c r="A31" s="112">
        <v>4.7862999999999998</v>
      </c>
      <c r="B31" s="101">
        <f t="shared" ca="1" si="0"/>
        <v>1.029681159169116</v>
      </c>
      <c r="C31" s="102">
        <f t="shared" ca="1" si="1"/>
        <v>0.24068711078398308</v>
      </c>
      <c r="D31" s="102">
        <f t="shared" si="2"/>
        <v>1.0000202276729699</v>
      </c>
      <c r="E31" s="103">
        <f t="shared" si="3"/>
        <v>6.3603981023499677E-3</v>
      </c>
      <c r="F31" s="101">
        <f t="shared" si="4"/>
        <v>1.0631243128050512</v>
      </c>
      <c r="G31" s="104">
        <f t="shared" si="5"/>
        <v>0.34633308725705009</v>
      </c>
      <c r="H31" s="113">
        <f t="shared" si="6"/>
        <v>1.0000001017447639</v>
      </c>
      <c r="I31" s="114">
        <f t="shared" si="7"/>
        <v>4.5109811642293589E-4</v>
      </c>
      <c r="J31" s="101">
        <f t="shared" si="8"/>
        <v>1.0000000000045219</v>
      </c>
      <c r="K31" s="104">
        <f t="shared" si="9"/>
        <v>3.0073209801299334E-6</v>
      </c>
      <c r="L31" s="102">
        <f t="shared" si="10"/>
        <v>1</v>
      </c>
      <c r="M31" s="103">
        <f t="shared" si="11"/>
        <v>1.578843514572975E-13</v>
      </c>
      <c r="N31" s="101">
        <f t="shared" si="12"/>
        <v>1</v>
      </c>
      <c r="O31" s="104">
        <f t="shared" si="13"/>
        <v>2.52614962331676E-14</v>
      </c>
      <c r="P31" s="105">
        <f t="shared" ca="1" si="14"/>
        <v>1.0000000355609668</v>
      </c>
      <c r="Q31" s="106">
        <f t="shared" ca="1" si="15"/>
        <v>2.7514299013045617E-4</v>
      </c>
      <c r="R31" s="107">
        <f t="shared" ca="1" si="16"/>
        <v>71.410589566266808</v>
      </c>
      <c r="S31" s="108">
        <f t="shared" ca="1" si="17"/>
        <v>-33.259446728073705</v>
      </c>
      <c r="T31" s="78">
        <f t="shared" ca="1" si="18"/>
        <v>146.7405532719263</v>
      </c>
      <c r="V31" s="72">
        <f t="shared" ca="1" si="19"/>
        <v>1000000000</v>
      </c>
      <c r="W31" s="72">
        <f t="shared" si="20"/>
        <v>22.908667689999998</v>
      </c>
      <c r="Y31" s="110">
        <f t="shared" si="21"/>
        <v>63.550719532177013</v>
      </c>
      <c r="Z31" s="111">
        <f t="shared" si="22"/>
        <v>-19.81775051678499</v>
      </c>
      <c r="AA31" s="72">
        <f t="shared" si="23"/>
        <v>160.182249483215</v>
      </c>
      <c r="AB31" s="110">
        <f t="shared" ca="1" si="24"/>
        <v>23.777470380971309</v>
      </c>
      <c r="AC31" s="111">
        <f t="shared" ca="1" si="25"/>
        <v>-13.441696211288702</v>
      </c>
      <c r="AD31" s="72">
        <f t="shared" ca="1" si="26"/>
        <v>166.5583037887113</v>
      </c>
    </row>
    <row r="32" spans="1:30">
      <c r="A32" s="112">
        <v>5.2481</v>
      </c>
      <c r="B32" s="101">
        <f t="shared" ca="1" si="0"/>
        <v>1.0355815242702351</v>
      </c>
      <c r="C32" s="102">
        <f t="shared" ca="1" si="1"/>
        <v>0.26289754242127444</v>
      </c>
      <c r="D32" s="102">
        <f t="shared" si="2"/>
        <v>1.0000243192068168</v>
      </c>
      <c r="E32" s="103">
        <f t="shared" si="3"/>
        <v>6.9740539105934167E-3</v>
      </c>
      <c r="F32" s="101">
        <f t="shared" si="4"/>
        <v>1.0754424419922399</v>
      </c>
      <c r="G32" s="104">
        <f t="shared" si="5"/>
        <v>0.37679175994484304</v>
      </c>
      <c r="H32" s="113">
        <f t="shared" si="6"/>
        <v>1.000000122325341</v>
      </c>
      <c r="I32" s="114">
        <f t="shared" si="7"/>
        <v>4.9462173125743557E-4</v>
      </c>
      <c r="J32" s="101">
        <f t="shared" si="8"/>
        <v>1.0000000000054365</v>
      </c>
      <c r="K32" s="104">
        <f t="shared" si="9"/>
        <v>3.297478477281048E-6</v>
      </c>
      <c r="L32" s="102">
        <f t="shared" si="10"/>
        <v>1</v>
      </c>
      <c r="M32" s="103">
        <f t="shared" si="11"/>
        <v>1.7311762005788252E-13</v>
      </c>
      <c r="N32" s="101">
        <f t="shared" si="12"/>
        <v>1</v>
      </c>
      <c r="O32" s="104">
        <f t="shared" si="13"/>
        <v>2.7698819209261201E-14</v>
      </c>
      <c r="P32" s="105">
        <f t="shared" ca="1" si="14"/>
        <v>1.0000000427541158</v>
      </c>
      <c r="Q32" s="106">
        <f t="shared" ca="1" si="15"/>
        <v>3.0168980628088283E-4</v>
      </c>
      <c r="R32" s="107">
        <f t="shared" ca="1" si="16"/>
        <v>71.260932241407801</v>
      </c>
      <c r="S32" s="108">
        <f t="shared" ca="1" si="17"/>
        <v>-36.241048158041195</v>
      </c>
      <c r="T32" s="78">
        <f t="shared" ca="1" si="18"/>
        <v>143.7589518419588</v>
      </c>
      <c r="V32" s="72">
        <f t="shared" ca="1" si="19"/>
        <v>1000000000</v>
      </c>
      <c r="W32" s="72">
        <f t="shared" si="20"/>
        <v>27.542553609999999</v>
      </c>
      <c r="Y32" s="110">
        <f t="shared" si="21"/>
        <v>63.450657280131097</v>
      </c>
      <c r="Z32" s="111">
        <f t="shared" si="22"/>
        <v>-21.560426818717293</v>
      </c>
      <c r="AA32" s="72">
        <f t="shared" si="23"/>
        <v>158.4395731812827</v>
      </c>
      <c r="AB32" s="110">
        <f t="shared" ca="1" si="24"/>
        <v>23.727875308158218</v>
      </c>
      <c r="AC32" s="111">
        <f t="shared" ca="1" si="25"/>
        <v>-14.680621339323904</v>
      </c>
      <c r="AD32" s="72">
        <f t="shared" ca="1" si="26"/>
        <v>165.31937866067611</v>
      </c>
    </row>
    <row r="33" spans="1:30">
      <c r="A33" s="112">
        <v>5.7544000000000004</v>
      </c>
      <c r="B33" s="101">
        <f t="shared" ca="1" si="0"/>
        <v>1.0426303751525385</v>
      </c>
      <c r="C33" s="102">
        <f t="shared" ca="1" si="1"/>
        <v>0.28694612839760791</v>
      </c>
      <c r="D33" s="102">
        <f t="shared" si="2"/>
        <v>1.0000292377689113</v>
      </c>
      <c r="E33" s="103">
        <f t="shared" si="3"/>
        <v>7.6468368043830165E-3</v>
      </c>
      <c r="F33" s="101">
        <f t="shared" si="4"/>
        <v>1.0900662876108447</v>
      </c>
      <c r="G33" s="104">
        <f t="shared" si="5"/>
        <v>0.40936085885872969</v>
      </c>
      <c r="H33" s="113">
        <f t="shared" si="6"/>
        <v>1.0000001470660136</v>
      </c>
      <c r="I33" s="114">
        <f t="shared" si="7"/>
        <v>5.4233936918167424E-4</v>
      </c>
      <c r="J33" s="101">
        <f t="shared" si="8"/>
        <v>1.0000000000065361</v>
      </c>
      <c r="K33" s="104">
        <f t="shared" si="9"/>
        <v>3.6155961490162453E-6</v>
      </c>
      <c r="L33" s="102">
        <f t="shared" si="10"/>
        <v>1</v>
      </c>
      <c r="M33" s="103">
        <f t="shared" si="11"/>
        <v>1.8981879782418004E-13</v>
      </c>
      <c r="N33" s="101">
        <f t="shared" si="12"/>
        <v>1</v>
      </c>
      <c r="O33" s="104">
        <f t="shared" si="13"/>
        <v>3.0371007651868806E-14</v>
      </c>
      <c r="P33" s="105">
        <f t="shared" ca="1" si="14"/>
        <v>1.0000000514012666</v>
      </c>
      <c r="Q33" s="106">
        <f t="shared" ca="1" si="15"/>
        <v>3.3079472791623307E-4</v>
      </c>
      <c r="R33" s="107">
        <f t="shared" ca="1" si="16"/>
        <v>71.084738777477853</v>
      </c>
      <c r="S33" s="108">
        <f t="shared" ca="1" si="17"/>
        <v>-39.44540672808175</v>
      </c>
      <c r="T33" s="78">
        <f t="shared" ca="1" si="18"/>
        <v>140.55459327191824</v>
      </c>
      <c r="V33" s="72">
        <f t="shared" ca="1" si="19"/>
        <v>1000000000</v>
      </c>
      <c r="W33" s="72">
        <f t="shared" si="20"/>
        <v>33.113119360000006</v>
      </c>
      <c r="Y33" s="110">
        <f t="shared" si="21"/>
        <v>63.33334276122131</v>
      </c>
      <c r="Z33" s="111">
        <f t="shared" si="22"/>
        <v>-23.423782938694092</v>
      </c>
      <c r="AA33" s="72">
        <f t="shared" si="23"/>
        <v>156.5762170613059</v>
      </c>
      <c r="AB33" s="110">
        <f t="shared" ca="1" si="24"/>
        <v>23.668996363138049</v>
      </c>
      <c r="AC33" s="111">
        <f t="shared" ca="1" si="25"/>
        <v>-16.021623789387654</v>
      </c>
      <c r="AD33" s="72">
        <f t="shared" ca="1" si="26"/>
        <v>163.97837621061234</v>
      </c>
    </row>
    <row r="34" spans="1:30">
      <c r="A34" s="112">
        <v>6.3095999999999997</v>
      </c>
      <c r="B34" s="101">
        <f t="shared" ca="1" si="0"/>
        <v>1.0510431770961683</v>
      </c>
      <c r="C34" s="102">
        <f t="shared" ca="1" si="1"/>
        <v>0.31292987787476234</v>
      </c>
      <c r="D34" s="102">
        <f t="shared" si="2"/>
        <v>1.0000351517139989</v>
      </c>
      <c r="E34" s="103">
        <f t="shared" si="3"/>
        <v>8.384591144148414E-3</v>
      </c>
      <c r="F34" s="101">
        <f t="shared" si="4"/>
        <v>1.107394029600274</v>
      </c>
      <c r="G34" s="104">
        <f t="shared" si="5"/>
        <v>0.44404592832374834</v>
      </c>
      <c r="H34" s="113">
        <f t="shared" si="6"/>
        <v>1.000000176813685</v>
      </c>
      <c r="I34" s="114">
        <f t="shared" si="7"/>
        <v>5.9466571943650904E-4</v>
      </c>
      <c r="J34" s="101">
        <f t="shared" si="8"/>
        <v>1.0000000000078584</v>
      </c>
      <c r="K34" s="104">
        <f t="shared" si="9"/>
        <v>3.96443859686723E-6</v>
      </c>
      <c r="L34" s="102">
        <f t="shared" si="10"/>
        <v>1</v>
      </c>
      <c r="M34" s="103">
        <f t="shared" si="11"/>
        <v>2.0813302633662001E-13</v>
      </c>
      <c r="N34" s="101">
        <f t="shared" si="12"/>
        <v>1</v>
      </c>
      <c r="O34" s="104">
        <f t="shared" si="13"/>
        <v>3.3301284213859197E-14</v>
      </c>
      <c r="P34" s="105">
        <f t="shared" ca="1" si="14"/>
        <v>1.0000000617984208</v>
      </c>
      <c r="Q34" s="106">
        <f t="shared" ca="1" si="15"/>
        <v>3.627106911683383E-4</v>
      </c>
      <c r="R34" s="107">
        <f t="shared" ca="1" si="16"/>
        <v>70.878001243395047</v>
      </c>
      <c r="S34" s="108">
        <f t="shared" ca="1" si="17"/>
        <v>-42.878054353613564</v>
      </c>
      <c r="T34" s="78">
        <f t="shared" ca="1" si="18"/>
        <v>137.12194564638645</v>
      </c>
      <c r="V34" s="72">
        <f t="shared" ca="1" si="19"/>
        <v>1000000000</v>
      </c>
      <c r="W34" s="72">
        <f t="shared" si="20"/>
        <v>39.811052159999996</v>
      </c>
      <c r="Y34" s="110">
        <f t="shared" si="21"/>
        <v>63.196357634260252</v>
      </c>
      <c r="Z34" s="111">
        <f t="shared" si="22"/>
        <v>-25.408112941597341</v>
      </c>
      <c r="AA34" s="72">
        <f t="shared" si="23"/>
        <v>154.59188705840265</v>
      </c>
      <c r="AB34" s="110">
        <f t="shared" ca="1" si="24"/>
        <v>23.599243956016291</v>
      </c>
      <c r="AC34" s="111">
        <f t="shared" ca="1" si="25"/>
        <v>-17.469941412016226</v>
      </c>
      <c r="AD34" s="72">
        <f t="shared" ca="1" si="26"/>
        <v>162.53005858798377</v>
      </c>
    </row>
    <row r="35" spans="1:30">
      <c r="A35" s="112">
        <v>6.9183000000000003</v>
      </c>
      <c r="B35" s="101">
        <f t="shared" ca="1" si="0"/>
        <v>1.0610682197845303</v>
      </c>
      <c r="C35" s="102">
        <f t="shared" ca="1" si="1"/>
        <v>0.34092295118013805</v>
      </c>
      <c r="D35" s="102">
        <f t="shared" si="2"/>
        <v>1.000042261030984</v>
      </c>
      <c r="E35" s="103">
        <f t="shared" si="3"/>
        <v>9.1934262066844016E-3</v>
      </c>
      <c r="F35" s="101">
        <f t="shared" si="4"/>
        <v>1.1278720141931604</v>
      </c>
      <c r="G35" s="104">
        <f t="shared" si="5"/>
        <v>0.48079955485155068</v>
      </c>
      <c r="H35" s="113">
        <f t="shared" si="6"/>
        <v>1.0000002125744152</v>
      </c>
      <c r="I35" s="114">
        <f t="shared" si="7"/>
        <v>6.5203432051097454E-4</v>
      </c>
      <c r="J35" s="101">
        <f t="shared" si="8"/>
        <v>1.0000000000094478</v>
      </c>
      <c r="K35" s="104">
        <f t="shared" si="9"/>
        <v>4.3468960860716211E-6</v>
      </c>
      <c r="L35" s="102">
        <f t="shared" si="10"/>
        <v>1</v>
      </c>
      <c r="M35" s="103">
        <f t="shared" si="11"/>
        <v>2.2821204452019755E-13</v>
      </c>
      <c r="N35" s="101">
        <f t="shared" si="12"/>
        <v>1</v>
      </c>
      <c r="O35" s="104">
        <f t="shared" si="13"/>
        <v>3.6513927123231604E-14</v>
      </c>
      <c r="P35" s="105">
        <f t="shared" ca="1" si="14"/>
        <v>1.0000000742972093</v>
      </c>
      <c r="Q35" s="106">
        <f t="shared" ca="1" si="15"/>
        <v>3.9770212921171825E-4</v>
      </c>
      <c r="R35" s="107">
        <f t="shared" ca="1" si="16"/>
        <v>70.636455338962335</v>
      </c>
      <c r="S35" s="108">
        <f t="shared" ca="1" si="17"/>
        <v>-46.540163956433972</v>
      </c>
      <c r="T35" s="78">
        <f t="shared" ca="1" si="18"/>
        <v>133.45983604356604</v>
      </c>
      <c r="V35" s="72">
        <f t="shared" ca="1" si="19"/>
        <v>1000000000</v>
      </c>
      <c r="W35" s="72">
        <f t="shared" si="20"/>
        <v>47.862874890000008</v>
      </c>
      <c r="Y35" s="110">
        <f t="shared" si="21"/>
        <v>63.037205085977689</v>
      </c>
      <c r="Z35" s="111">
        <f t="shared" si="22"/>
        <v>-27.510675560323879</v>
      </c>
      <c r="AA35" s="72">
        <f t="shared" si="23"/>
        <v>152.48932443967612</v>
      </c>
      <c r="AB35" s="110">
        <f t="shared" ca="1" si="24"/>
        <v>23.516850599866146</v>
      </c>
      <c r="AC35" s="111">
        <f t="shared" ca="1" si="25"/>
        <v>-19.029488396110093</v>
      </c>
      <c r="AD35" s="72">
        <f t="shared" ca="1" si="26"/>
        <v>160.97051160388992</v>
      </c>
    </row>
    <row r="36" spans="1:30">
      <c r="A36" s="112">
        <v>7.5857999999999999</v>
      </c>
      <c r="B36" s="101">
        <f t="shared" ca="1" si="0"/>
        <v>1.0729982886619611</v>
      </c>
      <c r="C36" s="102">
        <f t="shared" ca="1" si="1"/>
        <v>0.37099263112698366</v>
      </c>
      <c r="D36" s="102">
        <f t="shared" si="2"/>
        <v>1.0000508091848228</v>
      </c>
      <c r="E36" s="103">
        <f t="shared" si="3"/>
        <v>1.0080380310782587E-2</v>
      </c>
      <c r="F36" s="101">
        <f t="shared" si="4"/>
        <v>1.1520127986072046</v>
      </c>
      <c r="G36" s="104">
        <f t="shared" si="5"/>
        <v>0.51954350680552419</v>
      </c>
      <c r="H36" s="113">
        <f t="shared" si="6"/>
        <v>1.000000255573005</v>
      </c>
      <c r="I36" s="114">
        <f t="shared" si="7"/>
        <v>7.1494468391739355E-4</v>
      </c>
      <c r="J36" s="101">
        <f t="shared" si="8"/>
        <v>1.0000000000113589</v>
      </c>
      <c r="K36" s="104">
        <f t="shared" si="9"/>
        <v>4.766298704837907E-6</v>
      </c>
      <c r="L36" s="102">
        <f t="shared" si="10"/>
        <v>1</v>
      </c>
      <c r="M36" s="103">
        <f t="shared" si="11"/>
        <v>2.5023068200588503E-13</v>
      </c>
      <c r="N36" s="101">
        <f t="shared" si="12"/>
        <v>1</v>
      </c>
      <c r="O36" s="104">
        <f t="shared" si="13"/>
        <v>4.0036909120941603E-14</v>
      </c>
      <c r="P36" s="105">
        <f t="shared" ca="1" si="14"/>
        <v>1.0000000893257133</v>
      </c>
      <c r="Q36" s="106">
        <f t="shared" ca="1" si="15"/>
        <v>4.3607371500536778E-4</v>
      </c>
      <c r="R36" s="107">
        <f t="shared" ca="1" si="16"/>
        <v>70.355465715706757</v>
      </c>
      <c r="S36" s="108">
        <f t="shared" ca="1" si="17"/>
        <v>-50.430693976583946</v>
      </c>
      <c r="T36" s="78">
        <f t="shared" ca="1" si="18"/>
        <v>129.56930602341606</v>
      </c>
      <c r="V36" s="72">
        <f t="shared" ca="1" si="19"/>
        <v>1000000000</v>
      </c>
      <c r="W36" s="72">
        <f t="shared" si="20"/>
        <v>57.544361639999998</v>
      </c>
      <c r="Y36" s="110">
        <f t="shared" si="21"/>
        <v>62.853255792307223</v>
      </c>
      <c r="Z36" s="111">
        <f t="shared" si="22"/>
        <v>-29.726960023164761</v>
      </c>
      <c r="AA36" s="72">
        <f t="shared" si="23"/>
        <v>150.27303997683524</v>
      </c>
      <c r="AB36" s="110">
        <f t="shared" ca="1" si="24"/>
        <v>23.419810270281044</v>
      </c>
      <c r="AC36" s="111">
        <f t="shared" ca="1" si="25"/>
        <v>-20.703733953419185</v>
      </c>
      <c r="AD36" s="72">
        <f t="shared" ca="1" si="26"/>
        <v>159.29626604658083</v>
      </c>
    </row>
    <row r="37" spans="1:30">
      <c r="A37" s="112">
        <v>8.3176000000000005</v>
      </c>
      <c r="B37" s="101">
        <f t="shared" ca="1" si="0"/>
        <v>1.087166153995538</v>
      </c>
      <c r="C37" s="102">
        <f t="shared" ca="1" si="1"/>
        <v>0.40316824291295356</v>
      </c>
      <c r="D37" s="102">
        <f t="shared" si="2"/>
        <v>1.0000610848175728</v>
      </c>
      <c r="E37" s="103">
        <f t="shared" si="3"/>
        <v>1.1052756061037054E-2</v>
      </c>
      <c r="F37" s="101">
        <f t="shared" si="4"/>
        <v>1.1803791244009656</v>
      </c>
      <c r="G37" s="104">
        <f t="shared" si="5"/>
        <v>0.5601311600257427</v>
      </c>
      <c r="H37" s="113">
        <f t="shared" si="6"/>
        <v>1.0000003072615757</v>
      </c>
      <c r="I37" s="114">
        <f t="shared" si="7"/>
        <v>7.8391517019119484E-4</v>
      </c>
      <c r="J37" s="101">
        <f t="shared" si="8"/>
        <v>1.0000000000136562</v>
      </c>
      <c r="K37" s="104">
        <f t="shared" si="9"/>
        <v>5.2261022050804216E-6</v>
      </c>
      <c r="L37" s="102">
        <f t="shared" si="10"/>
        <v>1</v>
      </c>
      <c r="M37" s="103">
        <f t="shared" si="11"/>
        <v>2.7437036576922006E-13</v>
      </c>
      <c r="N37" s="101">
        <f t="shared" si="12"/>
        <v>1</v>
      </c>
      <c r="O37" s="104">
        <f t="shared" si="13"/>
        <v>4.3899258523075203E-14</v>
      </c>
      <c r="P37" s="105">
        <f t="shared" ca="1" si="14"/>
        <v>1.0000001073914668</v>
      </c>
      <c r="Q37" s="106">
        <f t="shared" ca="1" si="15"/>
        <v>4.7814161850453412E-4</v>
      </c>
      <c r="R37" s="107">
        <f t="shared" ca="1" si="16"/>
        <v>70.030333052050494</v>
      </c>
      <c r="S37" s="108">
        <f t="shared" ca="1" si="17"/>
        <v>-54.542493883486287</v>
      </c>
      <c r="T37" s="78">
        <f t="shared" ca="1" si="18"/>
        <v>125.45750611651371</v>
      </c>
      <c r="V37" s="72">
        <f t="shared" ca="1" si="19"/>
        <v>1000000000</v>
      </c>
      <c r="W37" s="72">
        <f t="shared" si="20"/>
        <v>69.182469760000004</v>
      </c>
      <c r="Y37" s="110">
        <f t="shared" si="21"/>
        <v>62.64197191825366</v>
      </c>
      <c r="Z37" s="111">
        <f t="shared" si="22"/>
        <v>-32.048535882700982</v>
      </c>
      <c r="AA37" s="72">
        <f t="shared" si="23"/>
        <v>147.95146411729903</v>
      </c>
      <c r="AB37" s="110">
        <f t="shared" ca="1" si="24"/>
        <v>23.305961480678338</v>
      </c>
      <c r="AC37" s="111">
        <f t="shared" ca="1" si="25"/>
        <v>-22.493958000785295</v>
      </c>
      <c r="AD37" s="72">
        <f t="shared" ca="1" si="26"/>
        <v>157.50604199921472</v>
      </c>
    </row>
    <row r="38" spans="1:30">
      <c r="A38" s="112">
        <v>9.1201000000000008</v>
      </c>
      <c r="B38" s="101">
        <f t="shared" ca="1" si="0"/>
        <v>1.1039609801035108</v>
      </c>
      <c r="C38" s="102">
        <f t="shared" ca="1" si="1"/>
        <v>0.43746357042124184</v>
      </c>
      <c r="D38" s="102">
        <f t="shared" si="2"/>
        <v>1.0000734401807456</v>
      </c>
      <c r="E38" s="103">
        <f t="shared" si="3"/>
        <v>1.2119050002137127E-2</v>
      </c>
      <c r="F38" s="101">
        <f t="shared" si="4"/>
        <v>1.2136094349563691</v>
      </c>
      <c r="G38" s="104">
        <f t="shared" si="5"/>
        <v>0.60238195748136203</v>
      </c>
      <c r="H38" s="113">
        <f t="shared" si="6"/>
        <v>1.000000369412323</v>
      </c>
      <c r="I38" s="114">
        <f t="shared" si="7"/>
        <v>8.5954896213263367E-4</v>
      </c>
      <c r="J38" s="101">
        <f t="shared" si="8"/>
        <v>1.0000000000164184</v>
      </c>
      <c r="K38" s="104">
        <f t="shared" si="9"/>
        <v>5.7303278253902785E-6</v>
      </c>
      <c r="L38" s="102">
        <f t="shared" si="10"/>
        <v>1</v>
      </c>
      <c r="M38" s="103">
        <f t="shared" si="11"/>
        <v>3.0084221083628258E-13</v>
      </c>
      <c r="N38" s="101">
        <f t="shared" si="12"/>
        <v>1</v>
      </c>
      <c r="O38" s="104">
        <f t="shared" si="13"/>
        <v>4.8134753733805206E-14</v>
      </c>
      <c r="P38" s="105">
        <f t="shared" ca="1" si="14"/>
        <v>1.0000001291138729</v>
      </c>
      <c r="Q38" s="106">
        <f t="shared" ca="1" si="15"/>
        <v>5.2427374649025808E-4</v>
      </c>
      <c r="R38" s="107">
        <f t="shared" ca="1" si="16"/>
        <v>69.656136233773466</v>
      </c>
      <c r="S38" s="108">
        <f t="shared" ca="1" si="17"/>
        <v>-58.865508213558968</v>
      </c>
      <c r="T38" s="78">
        <f t="shared" ca="1" si="18"/>
        <v>121.13449178644103</v>
      </c>
      <c r="V38" s="72">
        <f t="shared" ca="1" si="19"/>
        <v>1000000000</v>
      </c>
      <c r="W38" s="72">
        <f t="shared" si="20"/>
        <v>83.176224010000013</v>
      </c>
      <c r="Y38" s="110">
        <f t="shared" si="21"/>
        <v>62.400823979155582</v>
      </c>
      <c r="Z38" s="111">
        <f t="shared" si="22"/>
        <v>-34.465023653663174</v>
      </c>
      <c r="AA38" s="72">
        <f t="shared" si="23"/>
        <v>145.53497634633683</v>
      </c>
      <c r="AB38" s="110">
        <f t="shared" ca="1" si="24"/>
        <v>23.172912601499391</v>
      </c>
      <c r="AC38" s="111">
        <f t="shared" ca="1" si="25"/>
        <v>-24.400484559895787</v>
      </c>
      <c r="AD38" s="72">
        <f t="shared" ca="1" si="26"/>
        <v>155.5995154401042</v>
      </c>
    </row>
    <row r="39" spans="1:30">
      <c r="A39" s="115">
        <v>10</v>
      </c>
      <c r="B39" s="101">
        <f t="shared" ca="1" si="0"/>
        <v>1.1238200915571366</v>
      </c>
      <c r="C39" s="102">
        <f t="shared" ca="1" si="1"/>
        <v>0.47384108426671007</v>
      </c>
      <c r="D39" s="102">
        <f t="shared" si="2"/>
        <v>1.0000882940241749</v>
      </c>
      <c r="E39" s="103">
        <f t="shared" si="3"/>
        <v>1.3288154735364932E-2</v>
      </c>
      <c r="F39" s="101">
        <f t="shared" si="4"/>
        <v>1.2523933935483531</v>
      </c>
      <c r="G39" s="104">
        <f t="shared" si="5"/>
        <v>0.64604487200071159</v>
      </c>
      <c r="H39" s="113">
        <f t="shared" si="6"/>
        <v>1.0000004441320984</v>
      </c>
      <c r="I39" s="114">
        <f t="shared" si="7"/>
        <v>9.424775159436597E-4</v>
      </c>
      <c r="J39" s="101">
        <f t="shared" si="8"/>
        <v>1.0000000000197393</v>
      </c>
      <c r="K39" s="104">
        <f t="shared" si="9"/>
        <v>6.2831852999173167E-6</v>
      </c>
      <c r="L39" s="102">
        <f t="shared" si="10"/>
        <v>1</v>
      </c>
      <c r="M39" s="103">
        <f t="shared" si="11"/>
        <v>3.2986722825000005E-13</v>
      </c>
      <c r="N39" s="101">
        <f t="shared" si="12"/>
        <v>1</v>
      </c>
      <c r="O39" s="104">
        <f t="shared" si="13"/>
        <v>5.277875652E-14</v>
      </c>
      <c r="P39" s="105">
        <f t="shared" ca="1" si="14"/>
        <v>1.000000155229301</v>
      </c>
      <c r="Q39" s="106">
        <f t="shared" ca="1" si="15"/>
        <v>5.7485525121052654E-4</v>
      </c>
      <c r="R39" s="107">
        <f t="shared" ca="1" si="16"/>
        <v>69.228167811670161</v>
      </c>
      <c r="S39" s="108">
        <f t="shared" ca="1" si="17"/>
        <v>-63.382680514427079</v>
      </c>
      <c r="T39" s="78">
        <f t="shared" ca="1" si="18"/>
        <v>116.61731948557292</v>
      </c>
      <c r="V39" s="72">
        <f t="shared" ca="1" si="19"/>
        <v>1000000000</v>
      </c>
      <c r="W39" s="72">
        <f t="shared" si="20"/>
        <v>100</v>
      </c>
      <c r="Y39" s="110">
        <f t="shared" si="21"/>
        <v>62.127588150208553</v>
      </c>
      <c r="Z39" s="111">
        <f t="shared" si="22"/>
        <v>-36.962004599979672</v>
      </c>
      <c r="AA39" s="72">
        <f t="shared" si="23"/>
        <v>143.03799540002032</v>
      </c>
      <c r="AB39" s="110">
        <f t="shared" ca="1" si="24"/>
        <v>23.018180008343109</v>
      </c>
      <c r="AC39" s="111">
        <f t="shared" ca="1" si="25"/>
        <v>-26.420675914447411</v>
      </c>
      <c r="AD39" s="72">
        <f t="shared" ca="1" si="26"/>
        <v>153.5793240855526</v>
      </c>
    </row>
    <row r="40" spans="1:30">
      <c r="A40" s="115">
        <v>10.965</v>
      </c>
      <c r="B40" s="101">
        <f t="shared" ca="1" si="0"/>
        <v>1.1472462568702928</v>
      </c>
      <c r="C40" s="102">
        <f t="shared" ca="1" si="1"/>
        <v>0.51223257578512782</v>
      </c>
      <c r="D40" s="102">
        <f t="shared" si="2"/>
        <v>1.0001061560388289</v>
      </c>
      <c r="E40" s="103">
        <f t="shared" si="3"/>
        <v>1.4570288175530341E-2</v>
      </c>
      <c r="F40" s="101">
        <f t="shared" si="4"/>
        <v>1.2974981864438924</v>
      </c>
      <c r="G40" s="104">
        <f t="shared" si="5"/>
        <v>0.69083539384969717</v>
      </c>
      <c r="H40" s="113">
        <f t="shared" si="6"/>
        <v>1.0000005339854385</v>
      </c>
      <c r="I40" s="114">
        <f t="shared" si="7"/>
        <v>1.0334265343276924E-3</v>
      </c>
      <c r="J40" s="101">
        <f t="shared" si="8"/>
        <v>1.0000000000237326</v>
      </c>
      <c r="K40" s="104">
        <f t="shared" si="9"/>
        <v>6.8895126813409947E-6</v>
      </c>
      <c r="L40" s="102">
        <f t="shared" si="10"/>
        <v>1</v>
      </c>
      <c r="M40" s="103">
        <f t="shared" si="11"/>
        <v>3.6169941577612503E-13</v>
      </c>
      <c r="N40" s="101">
        <f t="shared" si="12"/>
        <v>1</v>
      </c>
      <c r="O40" s="104">
        <f t="shared" si="13"/>
        <v>5.7871906524180005E-14</v>
      </c>
      <c r="P40" s="105">
        <f t="shared" ca="1" si="14"/>
        <v>1.0000001866340873</v>
      </c>
      <c r="Q40" s="106">
        <f t="shared" ca="1" si="15"/>
        <v>6.3032877018052763E-4</v>
      </c>
      <c r="R40" s="107">
        <f t="shared" ca="1" si="16"/>
        <v>68.741806476557173</v>
      </c>
      <c r="S40" s="108">
        <f t="shared" ca="1" si="17"/>
        <v>-68.073200125851599</v>
      </c>
      <c r="T40" s="78">
        <f t="shared" ca="1" si="18"/>
        <v>111.9267998741484</v>
      </c>
      <c r="V40" s="72">
        <f t="shared" ca="1" si="19"/>
        <v>1000000000</v>
      </c>
      <c r="W40" s="72">
        <f t="shared" si="20"/>
        <v>120.23122499999999</v>
      </c>
      <c r="Y40" s="110">
        <f t="shared" si="21"/>
        <v>61.820269101186398</v>
      </c>
      <c r="Z40" s="111">
        <f t="shared" si="22"/>
        <v>-39.523136212135725</v>
      </c>
      <c r="AA40" s="72">
        <f t="shared" si="23"/>
        <v>140.47686378786426</v>
      </c>
      <c r="AB40" s="110">
        <f t="shared" ca="1" si="24"/>
        <v>22.839137722252289</v>
      </c>
      <c r="AC40" s="111">
        <f t="shared" ca="1" si="25"/>
        <v>-28.550063913715878</v>
      </c>
      <c r="AD40" s="72">
        <f t="shared" ca="1" si="26"/>
        <v>151.44993608628411</v>
      </c>
    </row>
    <row r="41" spans="1:30">
      <c r="A41" s="115">
        <v>12.023</v>
      </c>
      <c r="B41" s="101">
        <f t="shared" ca="1" si="0"/>
        <v>1.1747902347788459</v>
      </c>
      <c r="C41" s="102">
        <f t="shared" ca="1" si="1"/>
        <v>0.55249876018013233</v>
      </c>
      <c r="D41" s="102">
        <f t="shared" si="2"/>
        <v>1.0001276287348919</v>
      </c>
      <c r="E41" s="103">
        <f t="shared" si="3"/>
        <v>1.5975929526958088E-2</v>
      </c>
      <c r="F41" s="101">
        <f t="shared" si="4"/>
        <v>1.3497279478963242</v>
      </c>
      <c r="G41" s="104">
        <f t="shared" si="5"/>
        <v>0.73640172676179139</v>
      </c>
      <c r="H41" s="113">
        <f t="shared" si="6"/>
        <v>1.0000006420041168</v>
      </c>
      <c r="I41" s="114">
        <f t="shared" si="7"/>
        <v>1.1331405679412376E-3</v>
      </c>
      <c r="J41" s="101">
        <f t="shared" si="8"/>
        <v>1.0000000000285336</v>
      </c>
      <c r="K41" s="104">
        <f t="shared" si="9"/>
        <v>7.5542736860462991E-6</v>
      </c>
      <c r="L41" s="102">
        <f t="shared" si="10"/>
        <v>1</v>
      </c>
      <c r="M41" s="103">
        <f t="shared" si="11"/>
        <v>3.9659936852497505E-13</v>
      </c>
      <c r="N41" s="101">
        <f t="shared" si="12"/>
        <v>1</v>
      </c>
      <c r="O41" s="104">
        <f t="shared" si="13"/>
        <v>6.3455898963995999E-14</v>
      </c>
      <c r="P41" s="105">
        <f t="shared" ca="1" si="14"/>
        <v>1.0000002243878727</v>
      </c>
      <c r="Q41" s="106">
        <f t="shared" ca="1" si="15"/>
        <v>6.9114843769094061E-4</v>
      </c>
      <c r="R41" s="107">
        <f t="shared" ca="1" si="16"/>
        <v>68.193130382352862</v>
      </c>
      <c r="S41" s="108">
        <f t="shared" ca="1" si="17"/>
        <v>-72.908313406084744</v>
      </c>
      <c r="T41" s="78">
        <f t="shared" ca="1" si="18"/>
        <v>107.09168659391526</v>
      </c>
      <c r="V41" s="72">
        <f t="shared" ca="1" si="19"/>
        <v>1000000000</v>
      </c>
      <c r="W41" s="72">
        <f t="shared" si="20"/>
        <v>144.55252899999999</v>
      </c>
      <c r="Y41" s="110">
        <f t="shared" si="21"/>
        <v>61.477480416884731</v>
      </c>
      <c r="Z41" s="111">
        <f t="shared" si="22"/>
        <v>-42.128219673577526</v>
      </c>
      <c r="AA41" s="72">
        <f t="shared" si="23"/>
        <v>137.87178032642248</v>
      </c>
      <c r="AB41" s="110">
        <f t="shared" ca="1" si="24"/>
        <v>22.633250312349634</v>
      </c>
      <c r="AC41" s="111">
        <f t="shared" ca="1" si="25"/>
        <v>-30.780093732507211</v>
      </c>
      <c r="AD41" s="72">
        <f t="shared" ca="1" si="26"/>
        <v>149.21990626749277</v>
      </c>
    </row>
    <row r="42" spans="1:30">
      <c r="A42" s="115">
        <v>13.183</v>
      </c>
      <c r="B42" s="101">
        <f t="shared" ca="1" si="0"/>
        <v>1.2070717692569639</v>
      </c>
      <c r="C42" s="102">
        <f t="shared" ca="1" si="1"/>
        <v>0.59445981961871275</v>
      </c>
      <c r="D42" s="102">
        <f t="shared" si="2"/>
        <v>1.0001534425012597</v>
      </c>
      <c r="E42" s="103">
        <f t="shared" si="3"/>
        <v>1.7517013634033511E-2</v>
      </c>
      <c r="F42" s="101">
        <f t="shared" si="4"/>
        <v>1.4099595266151921</v>
      </c>
      <c r="G42" s="104">
        <f t="shared" si="5"/>
        <v>0.78237646021529406</v>
      </c>
      <c r="H42" s="113">
        <f t="shared" si="6"/>
        <v>1.0000007718636603</v>
      </c>
      <c r="I42" s="114">
        <f t="shared" si="7"/>
        <v>1.2424678378046676E-3</v>
      </c>
      <c r="J42" s="101">
        <f t="shared" si="8"/>
        <v>1.000000000034305</v>
      </c>
      <c r="K42" s="104">
        <f t="shared" si="9"/>
        <v>8.2831231808005632E-6</v>
      </c>
      <c r="L42" s="102">
        <f t="shared" si="10"/>
        <v>1</v>
      </c>
      <c r="M42" s="103">
        <f t="shared" si="11"/>
        <v>4.3486396700197506E-13</v>
      </c>
      <c r="N42" s="101">
        <f t="shared" si="12"/>
        <v>1</v>
      </c>
      <c r="O42" s="104">
        <f t="shared" si="13"/>
        <v>6.9578234720316006E-14</v>
      </c>
      <c r="P42" s="105">
        <f t="shared" ca="1" si="14"/>
        <v>1.0000002697752983</v>
      </c>
      <c r="Q42" s="106">
        <f t="shared" ca="1" si="15"/>
        <v>7.5783162166384187E-4</v>
      </c>
      <c r="R42" s="107">
        <f t="shared" ca="1" si="16"/>
        <v>67.57869188768494</v>
      </c>
      <c r="S42" s="108">
        <f t="shared" ca="1" si="17"/>
        <v>-77.855964031236383</v>
      </c>
      <c r="T42" s="78">
        <f t="shared" ca="1" si="18"/>
        <v>102.14403596876362</v>
      </c>
      <c r="V42" s="72">
        <f t="shared" ca="1" si="19"/>
        <v>1000000000</v>
      </c>
      <c r="W42" s="72">
        <f t="shared" si="20"/>
        <v>173.79148899999998</v>
      </c>
      <c r="Y42" s="110">
        <f t="shared" si="21"/>
        <v>61.098273431975691</v>
      </c>
      <c r="Z42" s="111">
        <f t="shared" si="22"/>
        <v>-44.75615563655424</v>
      </c>
      <c r="AA42" s="72">
        <f t="shared" si="23"/>
        <v>135.24384436344576</v>
      </c>
      <c r="AB42" s="110">
        <f t="shared" ca="1" si="24"/>
        <v>22.398018802590759</v>
      </c>
      <c r="AC42" s="111">
        <f t="shared" ca="1" si="25"/>
        <v>-33.099808394682157</v>
      </c>
      <c r="AD42" s="72">
        <f t="shared" ca="1" si="26"/>
        <v>146.90019160531784</v>
      </c>
    </row>
    <row r="43" spans="1:30">
      <c r="A43" s="115">
        <v>14.454000000000001</v>
      </c>
      <c r="B43" s="101">
        <f t="shared" ca="1" si="0"/>
        <v>1.2447470861779093</v>
      </c>
      <c r="C43" s="102">
        <f t="shared" ca="1" si="1"/>
        <v>0.63785305827941985</v>
      </c>
      <c r="D43" s="102">
        <f t="shared" si="2"/>
        <v>1.0001844533437845</v>
      </c>
      <c r="E43" s="103">
        <f t="shared" si="3"/>
        <v>1.9205467748346472E-2</v>
      </c>
      <c r="F43" s="101">
        <f t="shared" si="4"/>
        <v>1.4790797651914922</v>
      </c>
      <c r="G43" s="104">
        <f t="shared" si="5"/>
        <v>0.82834507167700577</v>
      </c>
      <c r="H43" s="113">
        <f t="shared" si="6"/>
        <v>1.0000009278721882</v>
      </c>
      <c r="I43" s="114">
        <f t="shared" si="7"/>
        <v>1.3622565622263749E-3</v>
      </c>
      <c r="J43" s="101">
        <f t="shared" si="8"/>
        <v>1.0000000000412388</v>
      </c>
      <c r="K43" s="104">
        <f t="shared" si="9"/>
        <v>9.0817160323703198E-6</v>
      </c>
      <c r="L43" s="102">
        <f t="shared" si="10"/>
        <v>1</v>
      </c>
      <c r="M43" s="103">
        <f t="shared" si="11"/>
        <v>4.7679009171255003E-13</v>
      </c>
      <c r="N43" s="101">
        <f t="shared" si="12"/>
        <v>1</v>
      </c>
      <c r="O43" s="104">
        <f t="shared" si="13"/>
        <v>7.6286414674008006E-14</v>
      </c>
      <c r="P43" s="105">
        <f t="shared" ca="1" si="14"/>
        <v>1.0000003243021038</v>
      </c>
      <c r="Q43" s="106">
        <f t="shared" ca="1" si="15"/>
        <v>8.3089568946178346E-4</v>
      </c>
      <c r="R43" s="107">
        <f t="shared" ca="1" si="16"/>
        <v>66.896302583020301</v>
      </c>
      <c r="S43" s="108">
        <f t="shared" ca="1" si="17"/>
        <v>-82.876648234191123</v>
      </c>
      <c r="T43" s="78">
        <f t="shared" ca="1" si="18"/>
        <v>97.123351765808877</v>
      </c>
      <c r="V43" s="72">
        <f t="shared" ca="1" si="19"/>
        <v>1000000000</v>
      </c>
      <c r="W43" s="72">
        <f t="shared" si="20"/>
        <v>208.91811600000003</v>
      </c>
      <c r="Y43" s="110">
        <f t="shared" si="21"/>
        <v>60.682575798834762</v>
      </c>
      <c r="Z43" s="111">
        <f t="shared" si="22"/>
        <v>-47.383145434044103</v>
      </c>
      <c r="AA43" s="72">
        <f t="shared" si="23"/>
        <v>132.61685456595589</v>
      </c>
      <c r="AB43" s="110">
        <f t="shared" ca="1" si="24"/>
        <v>22.131327131067039</v>
      </c>
      <c r="AC43" s="111">
        <f t="shared" ca="1" si="25"/>
        <v>-35.493502800147027</v>
      </c>
      <c r="AD43" s="72">
        <f t="shared" ca="1" si="26"/>
        <v>144.50649719985296</v>
      </c>
    </row>
    <row r="44" spans="1:30">
      <c r="A44" s="115">
        <v>15.849</v>
      </c>
      <c r="B44" s="101">
        <f t="shared" ca="1" si="0"/>
        <v>1.2886273564881585</v>
      </c>
      <c r="C44" s="102">
        <f t="shared" ca="1" si="1"/>
        <v>0.68246634720448063</v>
      </c>
      <c r="D44" s="102">
        <f t="shared" si="2"/>
        <v>1.0002217716664341</v>
      </c>
      <c r="E44" s="103">
        <f t="shared" si="3"/>
        <v>2.1058522675101009E-2</v>
      </c>
      <c r="F44" s="101">
        <f t="shared" si="4"/>
        <v>1.5582017217718351</v>
      </c>
      <c r="G44" s="104">
        <f t="shared" si="5"/>
        <v>0.87399823935091314</v>
      </c>
      <c r="H44" s="113">
        <f t="shared" si="6"/>
        <v>1.0000011156186008</v>
      </c>
      <c r="I44" s="114">
        <f t="shared" si="7"/>
        <v>1.4937319463387787E-3</v>
      </c>
      <c r="J44" s="101">
        <f t="shared" si="8"/>
        <v>1.000000000049583</v>
      </c>
      <c r="K44" s="104">
        <f t="shared" si="9"/>
        <v>9.9582203816408269E-6</v>
      </c>
      <c r="L44" s="102">
        <f t="shared" si="10"/>
        <v>1</v>
      </c>
      <c r="M44" s="103">
        <f t="shared" si="11"/>
        <v>5.2280657005342501E-13</v>
      </c>
      <c r="N44" s="101">
        <f t="shared" si="12"/>
        <v>1</v>
      </c>
      <c r="O44" s="104">
        <f t="shared" si="13"/>
        <v>8.3649051208548005E-14</v>
      </c>
      <c r="P44" s="105">
        <f t="shared" ca="1" si="14"/>
        <v>1.0000003899216789</v>
      </c>
      <c r="Q44" s="106">
        <f t="shared" ca="1" si="15"/>
        <v>9.1108794968491912E-4</v>
      </c>
      <c r="R44" s="107">
        <f t="shared" ca="1" si="16"/>
        <v>66.143061465943063</v>
      </c>
      <c r="S44" s="108">
        <f t="shared" ca="1" si="17"/>
        <v>-87.939474921627607</v>
      </c>
      <c r="T44" s="78">
        <f t="shared" ca="1" si="18"/>
        <v>92.060525078372393</v>
      </c>
      <c r="V44" s="72">
        <f t="shared" ca="1" si="19"/>
        <v>1000000000</v>
      </c>
      <c r="W44" s="72">
        <f t="shared" si="20"/>
        <v>251.19080099999999</v>
      </c>
      <c r="Y44" s="110">
        <f t="shared" si="21"/>
        <v>60.2299357448791</v>
      </c>
      <c r="Z44" s="111">
        <f t="shared" si="22"/>
        <v>-49.991396501520661</v>
      </c>
      <c r="AA44" s="72">
        <f t="shared" si="23"/>
        <v>130.00860349847935</v>
      </c>
      <c r="AB44" s="110">
        <f t="shared" ca="1" si="24"/>
        <v>21.830726067945466</v>
      </c>
      <c r="AC44" s="111">
        <f t="shared" ca="1" si="25"/>
        <v>-37.948078420106953</v>
      </c>
      <c r="AD44" s="72">
        <f t="shared" ca="1" si="26"/>
        <v>142.05192157989305</v>
      </c>
    </row>
    <row r="45" spans="1:30">
      <c r="A45" s="115">
        <v>17.378</v>
      </c>
      <c r="B45" s="101">
        <f t="shared" ca="1" si="0"/>
        <v>1.3394628673088547</v>
      </c>
      <c r="C45" s="102">
        <f t="shared" ca="1" si="1"/>
        <v>0.72790792039734353</v>
      </c>
      <c r="D45" s="102">
        <f t="shared" si="2"/>
        <v>1.0002666196643746</v>
      </c>
      <c r="E45" s="103">
        <f t="shared" si="3"/>
        <v>2.3089410537203783E-2</v>
      </c>
      <c r="F45" s="101">
        <f t="shared" si="4"/>
        <v>1.6482743512372735</v>
      </c>
      <c r="G45" s="104">
        <f t="shared" si="5"/>
        <v>0.91889979237733266</v>
      </c>
      <c r="H45" s="113">
        <f t="shared" si="6"/>
        <v>1.0000013412556137</v>
      </c>
      <c r="I45" s="114">
        <f t="shared" si="7"/>
        <v>1.6378364476461792E-3</v>
      </c>
      <c r="J45" s="101">
        <f t="shared" si="8"/>
        <v>1.0000000000596114</v>
      </c>
      <c r="K45" s="104">
        <f t="shared" si="9"/>
        <v>1.0918919413906072E-5</v>
      </c>
      <c r="L45" s="102">
        <f t="shared" si="10"/>
        <v>1</v>
      </c>
      <c r="M45" s="103">
        <f t="shared" si="11"/>
        <v>5.7324326925285004E-13</v>
      </c>
      <c r="N45" s="101">
        <f t="shared" si="12"/>
        <v>1</v>
      </c>
      <c r="O45" s="104">
        <f t="shared" si="13"/>
        <v>9.171892308045601E-14</v>
      </c>
      <c r="P45" s="105">
        <f t="shared" ca="1" si="14"/>
        <v>1.0000004687844744</v>
      </c>
      <c r="Q45" s="106">
        <f t="shared" ca="1" si="15"/>
        <v>9.9898325345575004E-4</v>
      </c>
      <c r="R45" s="107">
        <f t="shared" ca="1" si="16"/>
        <v>65.319269140716884</v>
      </c>
      <c r="S45" s="108">
        <f t="shared" ca="1" si="17"/>
        <v>-92.996227958834368</v>
      </c>
      <c r="T45" s="78">
        <f t="shared" ca="1" si="18"/>
        <v>87.003772041165632</v>
      </c>
      <c r="V45" s="72">
        <f t="shared" ca="1" si="19"/>
        <v>1000000000</v>
      </c>
      <c r="W45" s="72">
        <f t="shared" si="20"/>
        <v>301.99488400000001</v>
      </c>
      <c r="Y45" s="110">
        <f t="shared" si="21"/>
        <v>59.741821289934109</v>
      </c>
      <c r="Z45" s="111">
        <f t="shared" si="22"/>
        <v>-52.555864450711447</v>
      </c>
      <c r="AA45" s="72">
        <f t="shared" si="23"/>
        <v>127.44413554928855</v>
      </c>
      <c r="AB45" s="110">
        <f t="shared" ca="1" si="24"/>
        <v>21.495048197664278</v>
      </c>
      <c r="AC45" s="111">
        <f t="shared" ca="1" si="25"/>
        <v>-40.440363508122914</v>
      </c>
      <c r="AD45" s="72">
        <f t="shared" ca="1" si="26"/>
        <v>139.55963649187709</v>
      </c>
    </row>
    <row r="46" spans="1:30">
      <c r="A46" s="115">
        <v>19.055</v>
      </c>
      <c r="B46" s="101">
        <f t="shared" ca="1" si="0"/>
        <v>1.3981528996321559</v>
      </c>
      <c r="C46" s="102">
        <f t="shared" ca="1" si="1"/>
        <v>0.77384410140441218</v>
      </c>
      <c r="D46" s="102">
        <f t="shared" si="2"/>
        <v>1.0003205522194745</v>
      </c>
      <c r="E46" s="103">
        <f t="shared" si="3"/>
        <v>2.5316659131330455E-2</v>
      </c>
      <c r="F46" s="101">
        <f t="shared" si="4"/>
        <v>1.7504698447527094</v>
      </c>
      <c r="G46" s="104">
        <f t="shared" si="5"/>
        <v>0.96273763291478065</v>
      </c>
      <c r="H46" s="113">
        <f t="shared" si="6"/>
        <v>1.000001612611729</v>
      </c>
      <c r="I46" s="114">
        <f t="shared" si="7"/>
        <v>1.7958895076576147E-3</v>
      </c>
      <c r="J46" s="101">
        <f t="shared" si="8"/>
        <v>1.0000000000716716</v>
      </c>
      <c r="K46" s="104">
        <f t="shared" si="9"/>
        <v>1.1972609588577936E-5</v>
      </c>
      <c r="L46" s="102">
        <f t="shared" si="10"/>
        <v>1</v>
      </c>
      <c r="M46" s="103">
        <f t="shared" si="11"/>
        <v>6.2856200343037509E-13</v>
      </c>
      <c r="N46" s="101">
        <f t="shared" si="12"/>
        <v>1</v>
      </c>
      <c r="O46" s="104">
        <f t="shared" si="13"/>
        <v>1.0056992054886001E-13</v>
      </c>
      <c r="P46" s="105">
        <f t="shared" ca="1" si="14"/>
        <v>1.0000005636266502</v>
      </c>
      <c r="Q46" s="106">
        <f t="shared" ca="1" si="15"/>
        <v>1.0953863925527131E-3</v>
      </c>
      <c r="R46" s="107">
        <f t="shared" ca="1" si="16"/>
        <v>64.424756546230498</v>
      </c>
      <c r="S46" s="108">
        <f t="shared" ca="1" si="17"/>
        <v>-98.008816656331049</v>
      </c>
      <c r="T46" s="78">
        <f t="shared" ca="1" si="18"/>
        <v>81.991183343668951</v>
      </c>
      <c r="V46" s="72">
        <f t="shared" ca="1" si="19"/>
        <v>1000000000</v>
      </c>
      <c r="W46" s="72">
        <f t="shared" si="20"/>
        <v>363.09302500000001</v>
      </c>
      <c r="Y46" s="110">
        <f t="shared" si="21"/>
        <v>59.219320987483158</v>
      </c>
      <c r="Z46" s="111">
        <f t="shared" si="22"/>
        <v>-55.058592298054002</v>
      </c>
      <c r="AA46" s="72">
        <f t="shared" si="23"/>
        <v>124.94140770194599</v>
      </c>
      <c r="AB46" s="110">
        <f t="shared" ca="1" si="24"/>
        <v>21.123035905628829</v>
      </c>
      <c r="AC46" s="111">
        <f t="shared" ca="1" si="25"/>
        <v>-42.950224358277062</v>
      </c>
      <c r="AD46" s="72">
        <f t="shared" ca="1" si="26"/>
        <v>137.04977564172293</v>
      </c>
    </row>
    <row r="47" spans="1:30">
      <c r="A47" s="115">
        <v>20.893000000000001</v>
      </c>
      <c r="B47" s="101">
        <f t="shared" ca="1" si="0"/>
        <v>1.46557733061158</v>
      </c>
      <c r="C47" s="102">
        <f t="shared" ca="1" si="1"/>
        <v>0.81985808025806495</v>
      </c>
      <c r="D47" s="102">
        <f t="shared" si="2"/>
        <v>1.0003853615852618</v>
      </c>
      <c r="E47" s="103">
        <f t="shared" si="3"/>
        <v>2.7757444874620091E-2</v>
      </c>
      <c r="F47" s="101">
        <f t="shared" si="4"/>
        <v>1.8658924424926471</v>
      </c>
      <c r="G47" s="104">
        <f t="shared" si="5"/>
        <v>1.0051796263275456</v>
      </c>
      <c r="H47" s="113">
        <f t="shared" si="6"/>
        <v>1.0000019387126573</v>
      </c>
      <c r="I47" s="114">
        <f t="shared" si="7"/>
        <v>1.9691163120598527E-3</v>
      </c>
      <c r="J47" s="101">
        <f t="shared" si="8"/>
        <v>1.0000000000861651</v>
      </c>
      <c r="K47" s="104">
        <f t="shared" si="9"/>
        <v>1.3127459046535913E-5</v>
      </c>
      <c r="L47" s="102">
        <f t="shared" si="10"/>
        <v>1</v>
      </c>
      <c r="M47" s="103">
        <f t="shared" si="11"/>
        <v>6.8919159998272506E-13</v>
      </c>
      <c r="N47" s="101">
        <f t="shared" si="12"/>
        <v>1</v>
      </c>
      <c r="O47" s="104">
        <f t="shared" si="13"/>
        <v>1.1027065599723601E-13</v>
      </c>
      <c r="P47" s="105">
        <f t="shared" ca="1" si="14"/>
        <v>1.0000006776028088</v>
      </c>
      <c r="Q47" s="106">
        <f t="shared" ca="1" si="15"/>
        <v>1.2010446715640109E-3</v>
      </c>
      <c r="R47" s="107">
        <f t="shared" ca="1" si="16"/>
        <v>63.461600254916945</v>
      </c>
      <c r="S47" s="108">
        <f t="shared" ca="1" si="17"/>
        <v>-102.93331860042808</v>
      </c>
      <c r="T47" s="78">
        <f t="shared" ca="1" si="18"/>
        <v>77.06668139957192</v>
      </c>
      <c r="V47" s="72">
        <f t="shared" ca="1" si="19"/>
        <v>1000000000</v>
      </c>
      <c r="W47" s="72">
        <f t="shared" si="20"/>
        <v>436.51744900000006</v>
      </c>
      <c r="Y47" s="110">
        <f t="shared" si="21"/>
        <v>58.664684378596107</v>
      </c>
      <c r="Z47" s="111">
        <f t="shared" si="22"/>
        <v>-57.480480400701083</v>
      </c>
      <c r="AA47" s="72">
        <f t="shared" si="23"/>
        <v>122.51951959929892</v>
      </c>
      <c r="AB47" s="110">
        <f t="shared" ca="1" si="24"/>
        <v>20.714516223202345</v>
      </c>
      <c r="AC47" s="111">
        <f t="shared" ca="1" si="25"/>
        <v>-45.452838199727005</v>
      </c>
      <c r="AD47" s="72">
        <f t="shared" ca="1" si="26"/>
        <v>134.54716180027299</v>
      </c>
    </row>
    <row r="48" spans="1:30">
      <c r="A48" s="115">
        <v>22.909000000000002</v>
      </c>
      <c r="B48" s="101">
        <f t="shared" ca="1" si="0"/>
        <v>1.5427681420063559</v>
      </c>
      <c r="C48" s="102">
        <f t="shared" ca="1" si="1"/>
        <v>0.86559711430619346</v>
      </c>
      <c r="D48" s="102">
        <f t="shared" si="2"/>
        <v>1.0004632998454273</v>
      </c>
      <c r="E48" s="103">
        <f t="shared" si="3"/>
        <v>3.0434225596415045E-2</v>
      </c>
      <c r="F48" s="101">
        <f t="shared" si="4"/>
        <v>1.9958852799511433</v>
      </c>
      <c r="G48" s="104">
        <f t="shared" si="5"/>
        <v>1.0460068754881142</v>
      </c>
      <c r="H48" s="113">
        <f t="shared" si="6"/>
        <v>1.0000023309020105</v>
      </c>
      <c r="I48" s="114">
        <f t="shared" si="7"/>
        <v>2.1591190254358428E-3</v>
      </c>
      <c r="J48" s="101">
        <f t="shared" si="8"/>
        <v>1.0000000001035958</v>
      </c>
      <c r="K48" s="104">
        <f t="shared" si="9"/>
        <v>1.4394149202775885E-5</v>
      </c>
      <c r="L48" s="102">
        <f t="shared" si="10"/>
        <v>1</v>
      </c>
      <c r="M48" s="103">
        <f t="shared" si="11"/>
        <v>7.5569283319792512E-13</v>
      </c>
      <c r="N48" s="101">
        <f t="shared" si="12"/>
        <v>1</v>
      </c>
      <c r="O48" s="104">
        <f t="shared" si="13"/>
        <v>1.2091085331166802E-13</v>
      </c>
      <c r="P48" s="105">
        <f t="shared" ca="1" si="14"/>
        <v>1.0000008146776909</v>
      </c>
      <c r="Q48" s="106">
        <f t="shared" ca="1" si="15"/>
        <v>1.3169353346797977E-3</v>
      </c>
      <c r="R48" s="107">
        <f t="shared" ca="1" si="16"/>
        <v>62.431461288526307</v>
      </c>
      <c r="S48" s="108">
        <f t="shared" ca="1" si="17"/>
        <v>-107.73565931217303</v>
      </c>
      <c r="T48" s="78">
        <f t="shared" ca="1" si="18"/>
        <v>72.264340687826973</v>
      </c>
      <c r="V48" s="72">
        <f t="shared" ca="1" si="19"/>
        <v>1000000000</v>
      </c>
      <c r="W48" s="72">
        <f t="shared" si="20"/>
        <v>524.82228100000009</v>
      </c>
      <c r="Y48" s="110">
        <f t="shared" si="21"/>
        <v>58.079708394756963</v>
      </c>
      <c r="Z48" s="111">
        <f t="shared" si="22"/>
        <v>-59.808895691815529</v>
      </c>
      <c r="AA48" s="72">
        <f t="shared" si="23"/>
        <v>120.19110430818446</v>
      </c>
      <c r="AB48" s="110">
        <f t="shared" ca="1" si="24"/>
        <v>20.269353240650858</v>
      </c>
      <c r="AC48" s="111">
        <f t="shared" ca="1" si="25"/>
        <v>-47.926763620357484</v>
      </c>
      <c r="AD48" s="72">
        <f t="shared" ca="1" si="26"/>
        <v>132.07323637964251</v>
      </c>
    </row>
    <row r="49" spans="1:30">
      <c r="A49" s="115">
        <v>25.119</v>
      </c>
      <c r="B49" s="101">
        <f t="shared" ca="1" si="0"/>
        <v>1.6307227042547707</v>
      </c>
      <c r="C49" s="102">
        <f t="shared" ca="1" si="1"/>
        <v>0.91065936784197932</v>
      </c>
      <c r="D49" s="102">
        <f t="shared" si="2"/>
        <v>1.0005569731337745</v>
      </c>
      <c r="E49" s="103">
        <f t="shared" si="3"/>
        <v>3.3368090766185583E-2</v>
      </c>
      <c r="F49" s="101">
        <f t="shared" si="4"/>
        <v>2.1417196801065499</v>
      </c>
      <c r="G49" s="104">
        <f t="shared" si="5"/>
        <v>1.0849979527195703</v>
      </c>
      <c r="H49" s="113">
        <f t="shared" si="6"/>
        <v>1.0000028023110643</v>
      </c>
      <c r="I49" s="114">
        <f t="shared" si="7"/>
        <v>2.3674055504564018E-3</v>
      </c>
      <c r="J49" s="101">
        <f t="shared" si="8"/>
        <v>1.0000000001245475</v>
      </c>
      <c r="K49" s="104">
        <f t="shared" si="9"/>
        <v>1.5782733153759534E-5</v>
      </c>
      <c r="L49" s="102">
        <f t="shared" si="10"/>
        <v>1</v>
      </c>
      <c r="M49" s="103">
        <f t="shared" si="11"/>
        <v>8.2859349064117506E-13</v>
      </c>
      <c r="N49" s="101">
        <f t="shared" si="12"/>
        <v>1</v>
      </c>
      <c r="O49" s="104">
        <f t="shared" si="13"/>
        <v>1.3257495850258802E-13</v>
      </c>
      <c r="P49" s="105">
        <f t="shared" ca="1" si="14"/>
        <v>1.0000009794408549</v>
      </c>
      <c r="Q49" s="106">
        <f t="shared" ca="1" si="15"/>
        <v>1.4439781376435438E-3</v>
      </c>
      <c r="R49" s="107">
        <f t="shared" ca="1" si="16"/>
        <v>61.338147014421345</v>
      </c>
      <c r="S49" s="108">
        <f t="shared" ca="1" si="17"/>
        <v>-112.37888697018107</v>
      </c>
      <c r="T49" s="78">
        <f t="shared" ca="1" si="18"/>
        <v>67.621113029818929</v>
      </c>
      <c r="V49" s="72">
        <f t="shared" ca="1" si="19"/>
        <v>1000000000</v>
      </c>
      <c r="W49" s="72">
        <f t="shared" si="20"/>
        <v>630.96416099999999</v>
      </c>
      <c r="Y49" s="110">
        <f t="shared" si="21"/>
        <v>57.467171444626509</v>
      </c>
      <c r="Z49" s="111">
        <f t="shared" si="22"/>
        <v>-62.031065479569051</v>
      </c>
      <c r="AA49" s="72">
        <f t="shared" si="23"/>
        <v>117.96893452043095</v>
      </c>
      <c r="AB49" s="110">
        <f t="shared" ca="1" si="24"/>
        <v>19.788575916676344</v>
      </c>
      <c r="AC49" s="111">
        <f t="shared" ca="1" si="25"/>
        <v>-50.347821490611992</v>
      </c>
      <c r="AD49" s="72">
        <f t="shared" ca="1" si="26"/>
        <v>129.65217850938802</v>
      </c>
    </row>
    <row r="50" spans="1:30">
      <c r="A50" s="115">
        <v>27.542000000000002</v>
      </c>
      <c r="B50" s="101">
        <f t="shared" ca="1" si="0"/>
        <v>1.7305496219496341</v>
      </c>
      <c r="C50" s="102">
        <f t="shared" ca="1" si="1"/>
        <v>0.95470309691333177</v>
      </c>
      <c r="D50" s="102">
        <f t="shared" si="2"/>
        <v>1.0006695701133306</v>
      </c>
      <c r="E50" s="103">
        <f t="shared" si="3"/>
        <v>3.6584060004968139E-2</v>
      </c>
      <c r="F50" s="101">
        <f t="shared" si="4"/>
        <v>2.3048517948538532</v>
      </c>
      <c r="G50" s="104">
        <f t="shared" si="5"/>
        <v>1.1220155380384502</v>
      </c>
      <c r="H50" s="113">
        <f t="shared" si="6"/>
        <v>1.0000033690113532</v>
      </c>
      <c r="I50" s="114">
        <f t="shared" si="7"/>
        <v>2.5957665128784205E-3</v>
      </c>
      <c r="J50" s="101">
        <f t="shared" si="8"/>
        <v>1.000000000149734</v>
      </c>
      <c r="K50" s="104">
        <f t="shared" si="9"/>
        <v>1.7305148951532553E-5</v>
      </c>
      <c r="L50" s="102">
        <f t="shared" si="10"/>
        <v>1</v>
      </c>
      <c r="M50" s="103">
        <f t="shared" si="11"/>
        <v>9.0852032004615015E-13</v>
      </c>
      <c r="N50" s="101">
        <f t="shared" si="12"/>
        <v>1</v>
      </c>
      <c r="O50" s="104">
        <f t="shared" si="13"/>
        <v>1.4536325120738401E-13</v>
      </c>
      <c r="P50" s="105">
        <f t="shared" ca="1" si="14"/>
        <v>1.0000011775095246</v>
      </c>
      <c r="Q50" s="106">
        <f t="shared" ca="1" si="15"/>
        <v>1.5832652886129282E-3</v>
      </c>
      <c r="R50" s="107">
        <f t="shared" ca="1" si="16"/>
        <v>60.185441292436657</v>
      </c>
      <c r="S50" s="108">
        <f t="shared" ca="1" si="17"/>
        <v>-116.83408038172375</v>
      </c>
      <c r="T50" s="78">
        <f t="shared" ca="1" si="18"/>
        <v>63.165919618276249</v>
      </c>
      <c r="V50" s="72">
        <f t="shared" ca="1" si="19"/>
        <v>1000000000</v>
      </c>
      <c r="W50" s="72">
        <f t="shared" si="20"/>
        <v>758.56176400000004</v>
      </c>
      <c r="Y50" s="110">
        <f t="shared" si="21"/>
        <v>56.829568816831809</v>
      </c>
      <c r="Z50" s="111">
        <f t="shared" si="22"/>
        <v>-64.139019997158712</v>
      </c>
      <c r="AA50" s="72">
        <f t="shared" si="23"/>
        <v>115.86098000284129</v>
      </c>
      <c r="AB50" s="110">
        <f t="shared" ca="1" si="24"/>
        <v>19.273472822486362</v>
      </c>
      <c r="AC50" s="111">
        <f t="shared" ca="1" si="25"/>
        <v>-52.69506038456506</v>
      </c>
      <c r="AD50" s="72">
        <f t="shared" ca="1" si="26"/>
        <v>127.30493961543493</v>
      </c>
    </row>
    <row r="51" spans="1:30">
      <c r="A51" s="115">
        <v>30.2</v>
      </c>
      <c r="B51" s="101">
        <f t="shared" ca="1" si="0"/>
        <v>1.8434766513599217</v>
      </c>
      <c r="C51" s="102">
        <f t="shared" ca="1" si="1"/>
        <v>0.99744166052052663</v>
      </c>
      <c r="D51" s="102">
        <f t="shared" si="2"/>
        <v>1.0008049883655166</v>
      </c>
      <c r="E51" s="103">
        <f t="shared" si="3"/>
        <v>4.0111064083996804E-2</v>
      </c>
      <c r="F51" s="101">
        <f t="shared" si="4"/>
        <v>2.4869356668360658</v>
      </c>
      <c r="G51" s="104">
        <f t="shared" si="5"/>
        <v>1.1569856526313143</v>
      </c>
      <c r="H51" s="113">
        <f t="shared" si="6"/>
        <v>1.0000040506550858</v>
      </c>
      <c r="I51" s="114">
        <f t="shared" si="7"/>
        <v>2.8462752547148136E-3</v>
      </c>
      <c r="J51" s="101">
        <f t="shared" si="8"/>
        <v>1.0000000001800293</v>
      </c>
      <c r="K51" s="104">
        <f t="shared" si="9"/>
        <v>1.8975219603722597E-5</v>
      </c>
      <c r="L51" s="102">
        <f t="shared" si="10"/>
        <v>1</v>
      </c>
      <c r="M51" s="103">
        <f t="shared" si="11"/>
        <v>9.9619902931500016E-13</v>
      </c>
      <c r="N51" s="101">
        <f t="shared" si="12"/>
        <v>1</v>
      </c>
      <c r="O51" s="104">
        <f t="shared" si="13"/>
        <v>1.5939184469039999E-13</v>
      </c>
      <c r="P51" s="105">
        <f t="shared" ca="1" si="14"/>
        <v>1.0000014157524284</v>
      </c>
      <c r="Q51" s="106">
        <f t="shared" ca="1" si="15"/>
        <v>1.7360614467506596E-3</v>
      </c>
      <c r="R51" s="107">
        <f t="shared" ca="1" si="16"/>
        <v>58.977117893109671</v>
      </c>
      <c r="S51" s="108">
        <f t="shared" ca="1" si="17"/>
        <v>-121.0788744002684</v>
      </c>
      <c r="T51" s="78">
        <f t="shared" ca="1" si="18"/>
        <v>58.921125599731596</v>
      </c>
      <c r="V51" s="72">
        <f t="shared" ca="1" si="19"/>
        <v>1000000000</v>
      </c>
      <c r="W51" s="72">
        <f t="shared" si="20"/>
        <v>912.04</v>
      </c>
      <c r="Y51" s="110">
        <f t="shared" si="21"/>
        <v>56.169143817199</v>
      </c>
      <c r="Z51" s="111">
        <f t="shared" si="22"/>
        <v>-66.128402569049157</v>
      </c>
      <c r="AA51" s="72">
        <f t="shared" si="23"/>
        <v>113.87159743095084</v>
      </c>
      <c r="AB51" s="110">
        <f t="shared" ca="1" si="24"/>
        <v>18.725574422792178</v>
      </c>
      <c r="AC51" s="111">
        <f t="shared" ca="1" si="25"/>
        <v>-54.950471831219261</v>
      </c>
      <c r="AD51" s="72">
        <f t="shared" ca="1" si="26"/>
        <v>125.04952816878074</v>
      </c>
    </row>
    <row r="52" spans="1:30">
      <c r="A52" s="115">
        <v>33.113</v>
      </c>
      <c r="B52" s="101">
        <f t="shared" ca="1" si="0"/>
        <v>1.9706361168155753</v>
      </c>
      <c r="C52" s="102">
        <f t="shared" ca="1" si="1"/>
        <v>1.0385730414735528</v>
      </c>
      <c r="D52" s="102">
        <f t="shared" si="2"/>
        <v>1.0009676926908049</v>
      </c>
      <c r="E52" s="103">
        <f t="shared" si="3"/>
        <v>4.3975287993013944E-2</v>
      </c>
      <c r="F52" s="101">
        <f t="shared" si="4"/>
        <v>2.6894828567459612</v>
      </c>
      <c r="G52" s="104">
        <f t="shared" si="5"/>
        <v>1.1898289193775138</v>
      </c>
      <c r="H52" s="113">
        <f t="shared" si="6"/>
        <v>1.0000048697678587</v>
      </c>
      <c r="I52" s="114">
        <f t="shared" si="7"/>
        <v>3.1208165908169264E-3</v>
      </c>
      <c r="J52" s="101">
        <f t="shared" si="8"/>
        <v>1.0000000002164346</v>
      </c>
      <c r="K52" s="104">
        <f t="shared" si="9"/>
        <v>2.0805511480887976E-5</v>
      </c>
      <c r="L52" s="102">
        <f t="shared" si="10"/>
        <v>1</v>
      </c>
      <c r="M52" s="103">
        <f t="shared" si="11"/>
        <v>1.0922893529042251E-12</v>
      </c>
      <c r="N52" s="101">
        <f t="shared" si="12"/>
        <v>1</v>
      </c>
      <c r="O52" s="104">
        <f t="shared" si="13"/>
        <v>1.7476629646467601E-13</v>
      </c>
      <c r="P52" s="105">
        <f t="shared" ca="1" si="14"/>
        <v>1.0000017020425997</v>
      </c>
      <c r="Q52" s="106">
        <f t="shared" ca="1" si="15"/>
        <v>1.9035162936374777E-3</v>
      </c>
      <c r="R52" s="107">
        <f t="shared" ca="1" si="16"/>
        <v>57.719073978762367</v>
      </c>
      <c r="S52" s="108">
        <f t="shared" ca="1" si="17"/>
        <v>-125.08987505202451</v>
      </c>
      <c r="T52" s="78">
        <f t="shared" ca="1" si="18"/>
        <v>54.91012494797549</v>
      </c>
      <c r="V52" s="72">
        <f t="shared" ca="1" si="19"/>
        <v>1000000000</v>
      </c>
      <c r="W52" s="72">
        <f t="shared" si="20"/>
        <v>1096.470769</v>
      </c>
      <c r="Y52" s="110">
        <f t="shared" si="21"/>
        <v>55.489066342312071</v>
      </c>
      <c r="Z52" s="111">
        <f t="shared" si="22"/>
        <v>-67.994557949295825</v>
      </c>
      <c r="AA52" s="72">
        <f t="shared" si="23"/>
        <v>112.00544205070418</v>
      </c>
      <c r="AB52" s="110">
        <f t="shared" ca="1" si="24"/>
        <v>18.147607983331799</v>
      </c>
      <c r="AC52" s="111">
        <f t="shared" ca="1" si="25"/>
        <v>-57.095317102728671</v>
      </c>
      <c r="AD52" s="72">
        <f t="shared" ca="1" si="26"/>
        <v>122.90468289727133</v>
      </c>
    </row>
    <row r="53" spans="1:30">
      <c r="A53" s="115">
        <v>36.308</v>
      </c>
      <c r="B53" s="101">
        <f t="shared" ca="1" si="0"/>
        <v>2.1134516695445966</v>
      </c>
      <c r="C53" s="102">
        <f t="shared" ca="1" si="1"/>
        <v>1.0779224861473355</v>
      </c>
      <c r="D53" s="102">
        <f t="shared" si="2"/>
        <v>1.0011633291131479</v>
      </c>
      <c r="E53" s="103">
        <f t="shared" si="3"/>
        <v>4.8212082566826769E-2</v>
      </c>
      <c r="F53" s="101">
        <f t="shared" si="4"/>
        <v>2.9144858293466895</v>
      </c>
      <c r="G53" s="104">
        <f t="shared" si="5"/>
        <v>1.2205664968916632</v>
      </c>
      <c r="H53" s="113">
        <f t="shared" si="6"/>
        <v>1.0000058548482114</v>
      </c>
      <c r="I53" s="114">
        <f t="shared" si="7"/>
        <v>3.4219350214818468E-3</v>
      </c>
      <c r="J53" s="101">
        <f t="shared" si="8"/>
        <v>1.0000000002602163</v>
      </c>
      <c r="K53" s="104">
        <f t="shared" si="9"/>
        <v>2.2812989183282456E-5</v>
      </c>
      <c r="L53" s="102">
        <f t="shared" si="10"/>
        <v>1</v>
      </c>
      <c r="M53" s="103">
        <f t="shared" si="11"/>
        <v>1.1976819323301001E-12</v>
      </c>
      <c r="N53" s="101">
        <f t="shared" si="12"/>
        <v>1</v>
      </c>
      <c r="O53" s="104">
        <f t="shared" si="13"/>
        <v>1.9162910917281601E-13</v>
      </c>
      <c r="P53" s="105">
        <f t="shared" ca="1" si="14"/>
        <v>1.0000020463407209</v>
      </c>
      <c r="Q53" s="106">
        <f t="shared" ca="1" si="15"/>
        <v>2.0871818994583997E-3</v>
      </c>
      <c r="R53" s="107">
        <f t="shared" ca="1" si="16"/>
        <v>56.415196002372888</v>
      </c>
      <c r="S53" s="108">
        <f t="shared" ca="1" si="17"/>
        <v>-128.85620064743233</v>
      </c>
      <c r="T53" s="78">
        <f t="shared" ca="1" si="18"/>
        <v>51.143799352567669</v>
      </c>
      <c r="V53" s="72">
        <f t="shared" ca="1" si="19"/>
        <v>1000000000</v>
      </c>
      <c r="W53" s="72">
        <f t="shared" si="20"/>
        <v>1318.2708640000001</v>
      </c>
      <c r="Y53" s="110">
        <f t="shared" si="21"/>
        <v>54.791211544119562</v>
      </c>
      <c r="Z53" s="111">
        <f t="shared" si="22"/>
        <v>-69.738553620089633</v>
      </c>
      <c r="AA53" s="72">
        <f t="shared" si="23"/>
        <v>110.26144637991037</v>
      </c>
      <c r="AB53" s="110">
        <f t="shared" ca="1" si="24"/>
        <v>17.541584805134825</v>
      </c>
      <c r="AC53" s="111">
        <f t="shared" ca="1" si="25"/>
        <v>-59.117647027342656</v>
      </c>
      <c r="AD53" s="72">
        <f t="shared" ca="1" si="26"/>
        <v>120.88235297265734</v>
      </c>
    </row>
    <row r="54" spans="1:30">
      <c r="A54" s="115">
        <v>39.811</v>
      </c>
      <c r="B54" s="101">
        <f t="shared" ca="1" si="0"/>
        <v>2.2732967693283013</v>
      </c>
      <c r="C54" s="102">
        <f t="shared" ca="1" si="1"/>
        <v>1.1153203971413725</v>
      </c>
      <c r="D54" s="102">
        <f t="shared" si="2"/>
        <v>1.0013984697896814</v>
      </c>
      <c r="E54" s="103">
        <f t="shared" si="3"/>
        <v>5.2855311321007153E-2</v>
      </c>
      <c r="F54" s="101">
        <f t="shared" si="4"/>
        <v>3.1638702401336363</v>
      </c>
      <c r="G54" s="104">
        <f t="shared" si="5"/>
        <v>1.2492135558742228</v>
      </c>
      <c r="H54" s="113">
        <f t="shared" si="6"/>
        <v>1.0000070390962383</v>
      </c>
      <c r="I54" s="114">
        <f t="shared" si="7"/>
        <v>3.7520807421736729E-3</v>
      </c>
      <c r="J54" s="101">
        <f t="shared" si="8"/>
        <v>1.0000000003128497</v>
      </c>
      <c r="K54" s="104">
        <f t="shared" si="9"/>
        <v>2.5013988992612915E-5</v>
      </c>
      <c r="L54" s="102">
        <f t="shared" si="10"/>
        <v>1</v>
      </c>
      <c r="M54" s="103">
        <f t="shared" si="11"/>
        <v>1.3132344223860751E-12</v>
      </c>
      <c r="N54" s="101">
        <f t="shared" si="12"/>
        <v>1</v>
      </c>
      <c r="O54" s="104">
        <f t="shared" si="13"/>
        <v>2.1011750758177201E-13</v>
      </c>
      <c r="P54" s="105">
        <f t="shared" ca="1" si="14"/>
        <v>1.0000024602507718</v>
      </c>
      <c r="Q54" s="106">
        <f t="shared" ca="1" si="15"/>
        <v>2.2885528370962336E-3</v>
      </c>
      <c r="R54" s="107">
        <f t="shared" ca="1" si="16"/>
        <v>55.070831899623897</v>
      </c>
      <c r="S54" s="108">
        <f t="shared" ca="1" si="17"/>
        <v>-132.36700913466038</v>
      </c>
      <c r="T54" s="78">
        <f t="shared" ca="1" si="18"/>
        <v>47.632990865339622</v>
      </c>
      <c r="V54" s="72">
        <f t="shared" ca="1" si="19"/>
        <v>1000000000</v>
      </c>
      <c r="W54" s="72">
        <f t="shared" si="20"/>
        <v>1584.9157210000001</v>
      </c>
      <c r="Y54" s="110">
        <f t="shared" si="21"/>
        <v>54.078087521727333</v>
      </c>
      <c r="Z54" s="111">
        <f t="shared" si="22"/>
        <v>-71.361119348680958</v>
      </c>
      <c r="AA54" s="72">
        <f t="shared" si="23"/>
        <v>108.63888065131904</v>
      </c>
      <c r="AB54" s="110">
        <f t="shared" ca="1" si="24"/>
        <v>16.910344724778078</v>
      </c>
      <c r="AC54" s="111">
        <f t="shared" ca="1" si="25"/>
        <v>-61.005889785979434</v>
      </c>
      <c r="AD54" s="72">
        <f t="shared" ca="1" si="26"/>
        <v>118.99411021402057</v>
      </c>
    </row>
    <row r="55" spans="1:30">
      <c r="A55" s="115">
        <v>43.652000000000001</v>
      </c>
      <c r="B55" s="101">
        <f t="shared" ca="1" si="0"/>
        <v>2.4517169877057898</v>
      </c>
      <c r="C55" s="102">
        <f t="shared" ca="1" si="1"/>
        <v>1.1506682226431877</v>
      </c>
      <c r="D55" s="102">
        <f t="shared" si="2"/>
        <v>1.0016811012975753</v>
      </c>
      <c r="E55" s="103">
        <f t="shared" si="3"/>
        <v>5.7943931286322858E-2</v>
      </c>
      <c r="F55" s="101">
        <f t="shared" si="4"/>
        <v>3.4398467226158855</v>
      </c>
      <c r="G55" s="104">
        <f t="shared" si="5"/>
        <v>1.2758268683922676</v>
      </c>
      <c r="H55" s="113">
        <f t="shared" si="6"/>
        <v>1.0000084628903421</v>
      </c>
      <c r="I55" s="114">
        <f t="shared" si="7"/>
        <v>4.1140808593971004E-3</v>
      </c>
      <c r="J55" s="101">
        <f t="shared" si="8"/>
        <v>1.00000000037613</v>
      </c>
      <c r="K55" s="104">
        <f t="shared" si="9"/>
        <v>2.7427360464682493E-5</v>
      </c>
      <c r="L55" s="102">
        <f t="shared" si="10"/>
        <v>1</v>
      </c>
      <c r="M55" s="103">
        <f t="shared" si="11"/>
        <v>1.4399364247569002E-12</v>
      </c>
      <c r="N55" s="101">
        <f t="shared" si="12"/>
        <v>1</v>
      </c>
      <c r="O55" s="104">
        <f t="shared" si="13"/>
        <v>2.3038982796110403E-13</v>
      </c>
      <c r="P55" s="105">
        <f t="shared" ca="1" si="14"/>
        <v>1.0000029578857077</v>
      </c>
      <c r="Q55" s="106">
        <f t="shared" ca="1" si="15"/>
        <v>2.5093536050355796E-3</v>
      </c>
      <c r="R55" s="107">
        <f t="shared" ca="1" si="16"/>
        <v>53.690598492207002</v>
      </c>
      <c r="S55" s="108">
        <f t="shared" ca="1" si="17"/>
        <v>-135.61761254239138</v>
      </c>
      <c r="T55" s="78">
        <f t="shared" ca="1" si="18"/>
        <v>44.382387457608615</v>
      </c>
      <c r="V55" s="72">
        <f t="shared" ca="1" si="19"/>
        <v>1000000000</v>
      </c>
      <c r="W55" s="72">
        <f t="shared" si="20"/>
        <v>1905.497104</v>
      </c>
      <c r="Y55" s="110">
        <f t="shared" si="21"/>
        <v>53.351691334941371</v>
      </c>
      <c r="Z55" s="111">
        <f t="shared" si="22"/>
        <v>-72.865347033639964</v>
      </c>
      <c r="AA55" s="72">
        <f t="shared" si="23"/>
        <v>107.13465296636004</v>
      </c>
      <c r="AB55" s="110">
        <f t="shared" ca="1" si="24"/>
        <v>16.25650750414713</v>
      </c>
      <c r="AC55" s="111">
        <f t="shared" ca="1" si="25"/>
        <v>-62.752265508751449</v>
      </c>
      <c r="AD55" s="72">
        <f t="shared" ca="1" si="26"/>
        <v>117.24773449124855</v>
      </c>
    </row>
    <row r="56" spans="1:30">
      <c r="A56" s="115">
        <v>47.863</v>
      </c>
      <c r="B56" s="101">
        <f t="shared" ca="1" si="0"/>
        <v>2.6503450633427774</v>
      </c>
      <c r="C56" s="102">
        <f t="shared" ca="1" si="1"/>
        <v>1.1839071407952426</v>
      </c>
      <c r="D56" s="102">
        <f t="shared" si="2"/>
        <v>1.0020207460476362</v>
      </c>
      <c r="E56" s="103">
        <f t="shared" si="3"/>
        <v>6.3519273604257298E-2</v>
      </c>
      <c r="F56" s="101">
        <f t="shared" si="4"/>
        <v>3.7447737512059716</v>
      </c>
      <c r="G56" s="104">
        <f t="shared" si="5"/>
        <v>1.3004773644956571</v>
      </c>
      <c r="H56" s="113">
        <f t="shared" si="6"/>
        <v>1.0000101744251528</v>
      </c>
      <c r="I56" s="114">
        <f t="shared" si="7"/>
        <v>4.5109508726641958E-3</v>
      </c>
      <c r="J56" s="101">
        <f t="shared" si="8"/>
        <v>1.0000000004521989</v>
      </c>
      <c r="K56" s="104">
        <f t="shared" si="9"/>
        <v>3.0073209792323946E-5</v>
      </c>
      <c r="L56" s="102">
        <f t="shared" si="10"/>
        <v>1</v>
      </c>
      <c r="M56" s="103">
        <f t="shared" si="11"/>
        <v>1.5788435145729752E-12</v>
      </c>
      <c r="N56" s="101">
        <f t="shared" si="12"/>
        <v>1</v>
      </c>
      <c r="O56" s="104">
        <f t="shared" si="13"/>
        <v>2.5261496233167602E-13</v>
      </c>
      <c r="P56" s="105">
        <f t="shared" ca="1" si="14"/>
        <v>1.0000035560904512</v>
      </c>
      <c r="Q56" s="106">
        <f t="shared" ca="1" si="15"/>
        <v>2.7514236516639739E-3</v>
      </c>
      <c r="R56" s="107">
        <f t="shared" ca="1" si="16"/>
        <v>52.279181278957665</v>
      </c>
      <c r="S56" s="108">
        <f t="shared" ca="1" si="17"/>
        <v>-138.60627028820537</v>
      </c>
      <c r="T56" s="78">
        <f t="shared" ca="1" si="18"/>
        <v>41.393729711794634</v>
      </c>
      <c r="V56" s="72">
        <f t="shared" ca="1" si="19"/>
        <v>1000000000</v>
      </c>
      <c r="W56" s="72">
        <f t="shared" si="20"/>
        <v>2290.8667689999997</v>
      </c>
      <c r="Y56" s="110">
        <f t="shared" si="21"/>
        <v>52.613976343359219</v>
      </c>
      <c r="Z56" s="111">
        <f t="shared" si="22"/>
        <v>-74.255129044073428</v>
      </c>
      <c r="AA56" s="72">
        <f t="shared" si="23"/>
        <v>105.74487095592657</v>
      </c>
      <c r="AB56" s="110">
        <f t="shared" ca="1" si="24"/>
        <v>15.582805282479947</v>
      </c>
      <c r="AC56" s="111">
        <f t="shared" ca="1" si="25"/>
        <v>-64.351141244131966</v>
      </c>
      <c r="AD56" s="72">
        <f t="shared" ca="1" si="26"/>
        <v>115.64885875586803</v>
      </c>
    </row>
    <row r="57" spans="1:30">
      <c r="A57" s="115">
        <v>52.481000000000002</v>
      </c>
      <c r="B57" s="101">
        <f t="shared" ca="1" si="0"/>
        <v>2.8710467326371307</v>
      </c>
      <c r="C57" s="102">
        <f t="shared" ca="1" si="1"/>
        <v>1.2150340358426537</v>
      </c>
      <c r="D57" s="102">
        <f t="shared" si="2"/>
        <v>1.0024290002318168</v>
      </c>
      <c r="E57" s="103">
        <f t="shared" si="3"/>
        <v>6.9628926454741905E-2</v>
      </c>
      <c r="F57" s="101">
        <f t="shared" si="4"/>
        <v>4.0813777825414812</v>
      </c>
      <c r="G57" s="104">
        <f t="shared" si="5"/>
        <v>1.3232608537302759</v>
      </c>
      <c r="H57" s="113">
        <f t="shared" si="6"/>
        <v>1.0000122324600302</v>
      </c>
      <c r="I57" s="114">
        <f t="shared" si="7"/>
        <v>4.9461773800112121E-3</v>
      </c>
      <c r="J57" s="101">
        <f t="shared" si="8"/>
        <v>1.0000000005436682</v>
      </c>
      <c r="K57" s="104">
        <f t="shared" si="9"/>
        <v>3.2974784760978436E-5</v>
      </c>
      <c r="L57" s="102">
        <f t="shared" si="10"/>
        <v>1</v>
      </c>
      <c r="M57" s="103">
        <f t="shared" si="11"/>
        <v>1.7311762005788252E-12</v>
      </c>
      <c r="N57" s="101">
        <f t="shared" si="12"/>
        <v>1</v>
      </c>
      <c r="O57" s="104">
        <f t="shared" si="13"/>
        <v>2.76988192092612E-13</v>
      </c>
      <c r="P57" s="105">
        <f t="shared" ca="1" si="14"/>
        <v>1.0000042754025742</v>
      </c>
      <c r="Q57" s="106">
        <f t="shared" ca="1" si="15"/>
        <v>3.0168898240608062E-3</v>
      </c>
      <c r="R57" s="107">
        <f t="shared" ca="1" si="16"/>
        <v>50.840350027854853</v>
      </c>
      <c r="S57" s="108">
        <f t="shared" ca="1" si="17"/>
        <v>-141.33549015726081</v>
      </c>
      <c r="T57" s="78">
        <f t="shared" ca="1" si="18"/>
        <v>38.664509842739193</v>
      </c>
      <c r="V57" s="72">
        <f t="shared" ca="1" si="19"/>
        <v>1000000000</v>
      </c>
      <c r="W57" s="72">
        <f t="shared" si="20"/>
        <v>2754.255361</v>
      </c>
      <c r="Y57" s="110">
        <f t="shared" si="21"/>
        <v>51.866369977185023</v>
      </c>
      <c r="Z57" s="111">
        <f t="shared" si="22"/>
        <v>-75.535756427251258</v>
      </c>
      <c r="AA57" s="72">
        <f t="shared" si="23"/>
        <v>104.46424357274874</v>
      </c>
      <c r="AB57" s="110">
        <f t="shared" ca="1" si="24"/>
        <v>14.891580397551332</v>
      </c>
      <c r="AC57" s="111">
        <f t="shared" ca="1" si="25"/>
        <v>-65.799733730009535</v>
      </c>
      <c r="AD57" s="72">
        <f t="shared" ca="1" si="26"/>
        <v>114.20026626999046</v>
      </c>
    </row>
    <row r="58" spans="1:30">
      <c r="A58" s="115">
        <v>57.544000000000004</v>
      </c>
      <c r="B58" s="101">
        <f t="shared" ca="1" si="0"/>
        <v>3.1157358551508088</v>
      </c>
      <c r="C58" s="102">
        <f t="shared" ca="1" si="1"/>
        <v>1.2440623925366388</v>
      </c>
      <c r="D58" s="102">
        <f t="shared" si="2"/>
        <v>1.0029195577248293</v>
      </c>
      <c r="E58" s="103">
        <f t="shared" si="3"/>
        <v>7.6321323303906535E-2</v>
      </c>
      <c r="F58" s="101">
        <f t="shared" si="4"/>
        <v>4.4524657369337328</v>
      </c>
      <c r="G58" s="104">
        <f t="shared" si="5"/>
        <v>1.3442692841144159</v>
      </c>
      <c r="H58" s="113">
        <f t="shared" si="6"/>
        <v>1.0000147064943115</v>
      </c>
      <c r="I58" s="114">
        <f t="shared" si="7"/>
        <v>5.4233410513511862E-3</v>
      </c>
      <c r="J58" s="101">
        <f t="shared" si="8"/>
        <v>1.0000000006536267</v>
      </c>
      <c r="K58" s="104">
        <f t="shared" si="9"/>
        <v>3.6155961474564999E-5</v>
      </c>
      <c r="L58" s="102">
        <f t="shared" si="10"/>
        <v>1</v>
      </c>
      <c r="M58" s="103">
        <f t="shared" si="11"/>
        <v>1.8981879782418004E-12</v>
      </c>
      <c r="N58" s="101">
        <f t="shared" si="12"/>
        <v>1</v>
      </c>
      <c r="O58" s="104">
        <f t="shared" si="13"/>
        <v>3.0371007651868802E-13</v>
      </c>
      <c r="P58" s="105">
        <f t="shared" ca="1" si="14"/>
        <v>1.0000051401136147</v>
      </c>
      <c r="Q58" s="106">
        <f t="shared" ca="1" si="15"/>
        <v>3.3079364185427326E-3</v>
      </c>
      <c r="R58" s="107">
        <f t="shared" ca="1" si="16"/>
        <v>49.378330358274276</v>
      </c>
      <c r="S58" s="108">
        <f t="shared" ca="1" si="17"/>
        <v>-143.80845933076634</v>
      </c>
      <c r="T58" s="78">
        <f t="shared" ca="1" si="18"/>
        <v>36.19154066923366</v>
      </c>
      <c r="V58" s="72">
        <f t="shared" ca="1" si="19"/>
        <v>1000000000</v>
      </c>
      <c r="W58" s="72">
        <f t="shared" si="20"/>
        <v>3311.3119360000005</v>
      </c>
      <c r="Y58" s="110">
        <f t="shared" si="21"/>
        <v>51.1105156630652</v>
      </c>
      <c r="Z58" s="111">
        <f t="shared" si="22"/>
        <v>-76.712293627288076</v>
      </c>
      <c r="AA58" s="72">
        <f t="shared" si="23"/>
        <v>103.28770637271192</v>
      </c>
      <c r="AB58" s="110">
        <f t="shared" ca="1" si="24"/>
        <v>14.185415042090586</v>
      </c>
      <c r="AC58" s="111">
        <f t="shared" ca="1" si="25"/>
        <v>-67.096165703478277</v>
      </c>
      <c r="AD58" s="72">
        <f t="shared" ca="1" si="26"/>
        <v>112.90383429652172</v>
      </c>
    </row>
    <row r="59" spans="1:30">
      <c r="A59" s="115">
        <v>63.095999999999997</v>
      </c>
      <c r="B59" s="101">
        <f t="shared" ca="1" si="0"/>
        <v>3.3866171930173561</v>
      </c>
      <c r="C59" s="102">
        <f t="shared" ca="1" si="1"/>
        <v>1.2710478540963228</v>
      </c>
      <c r="D59" s="102">
        <f t="shared" si="2"/>
        <v>1.0035090763735399</v>
      </c>
      <c r="E59" s="103">
        <f t="shared" si="3"/>
        <v>8.3652204503786534E-2</v>
      </c>
      <c r="F59" s="101">
        <f t="shared" si="4"/>
        <v>4.8612913592412079</v>
      </c>
      <c r="G59" s="104">
        <f t="shared" si="5"/>
        <v>1.3636105729997627</v>
      </c>
      <c r="H59" s="113">
        <f t="shared" si="6"/>
        <v>1.0000176812137493</v>
      </c>
      <c r="I59" s="114">
        <f t="shared" si="7"/>
        <v>5.9465878001133303E-3</v>
      </c>
      <c r="J59" s="101">
        <f t="shared" si="8"/>
        <v>1.0000000007858385</v>
      </c>
      <c r="K59" s="104">
        <f t="shared" si="9"/>
        <v>3.9644385948110597E-5</v>
      </c>
      <c r="L59" s="102">
        <f t="shared" si="10"/>
        <v>1</v>
      </c>
      <c r="M59" s="103">
        <f t="shared" si="11"/>
        <v>2.0813302633662E-12</v>
      </c>
      <c r="N59" s="101">
        <f t="shared" si="12"/>
        <v>1</v>
      </c>
      <c r="O59" s="104">
        <f t="shared" si="13"/>
        <v>3.3301284213859202E-13</v>
      </c>
      <c r="P59" s="105">
        <f t="shared" ca="1" si="14"/>
        <v>1.0000061798232616</v>
      </c>
      <c r="Q59" s="106">
        <f t="shared" ca="1" si="15"/>
        <v>3.6270925944403422E-3</v>
      </c>
      <c r="R59" s="107">
        <f t="shared" ca="1" si="16"/>
        <v>47.896320417166947</v>
      </c>
      <c r="S59" s="108">
        <f t="shared" ca="1" si="17"/>
        <v>-146.03126440302458</v>
      </c>
      <c r="T59" s="78">
        <f t="shared" ca="1" si="18"/>
        <v>33.968735596975421</v>
      </c>
      <c r="V59" s="72">
        <f t="shared" ca="1" si="19"/>
        <v>1000000000</v>
      </c>
      <c r="W59" s="72">
        <f t="shared" si="20"/>
        <v>3981.1052159999995</v>
      </c>
      <c r="Y59" s="110">
        <f t="shared" si="21"/>
        <v>50.347520200150583</v>
      </c>
      <c r="Z59" s="111">
        <f t="shared" si="22"/>
        <v>-77.79068789363663</v>
      </c>
      <c r="AA59" s="72">
        <f t="shared" si="23"/>
        <v>102.20931210636337</v>
      </c>
      <c r="AB59" s="110">
        <f t="shared" ca="1" si="24"/>
        <v>13.466400563897874</v>
      </c>
      <c r="AC59" s="111">
        <f t="shared" ca="1" si="25"/>
        <v>-68.240576509387921</v>
      </c>
      <c r="AD59" s="72">
        <f t="shared" ca="1" si="26"/>
        <v>111.75942349061208</v>
      </c>
    </row>
    <row r="60" spans="1:30">
      <c r="A60" s="115">
        <v>69.183000000000007</v>
      </c>
      <c r="B60" s="101">
        <f t="shared" ca="1" si="0"/>
        <v>3.6859973824829586</v>
      </c>
      <c r="C60" s="102">
        <f t="shared" ca="1" si="1"/>
        <v>1.2960560212111853</v>
      </c>
      <c r="D60" s="102">
        <f t="shared" si="2"/>
        <v>1.0042172995902356</v>
      </c>
      <c r="E60" s="103">
        <f t="shared" si="3"/>
        <v>9.1679129436494769E-2</v>
      </c>
      <c r="F60" s="101">
        <f t="shared" si="4"/>
        <v>5.3112642600433331</v>
      </c>
      <c r="G60" s="104">
        <f t="shared" si="5"/>
        <v>1.3813867238433903</v>
      </c>
      <c r="H60" s="113">
        <f t="shared" si="6"/>
        <v>1.0000212572178466</v>
      </c>
      <c r="I60" s="114">
        <f t="shared" si="7"/>
        <v>6.5202517276063809E-3</v>
      </c>
      <c r="J60" s="101">
        <f t="shared" si="8"/>
        <v>1.0000000009447751</v>
      </c>
      <c r="K60" s="104">
        <f t="shared" si="9"/>
        <v>4.346896083361107E-5</v>
      </c>
      <c r="L60" s="102">
        <f t="shared" si="10"/>
        <v>1</v>
      </c>
      <c r="M60" s="103">
        <f t="shared" si="11"/>
        <v>2.2821204452019754E-12</v>
      </c>
      <c r="N60" s="101">
        <f t="shared" si="12"/>
        <v>1</v>
      </c>
      <c r="O60" s="104">
        <f t="shared" si="13"/>
        <v>3.6513927123231604E-13</v>
      </c>
      <c r="P60" s="105">
        <f t="shared" ca="1" si="14"/>
        <v>1.0000074296937027</v>
      </c>
      <c r="Q60" s="106">
        <f t="shared" ca="1" si="15"/>
        <v>3.9770024186613889E-3</v>
      </c>
      <c r="R60" s="107">
        <f t="shared" ca="1" si="16"/>
        <v>46.397765042446309</v>
      </c>
      <c r="S60" s="108">
        <f t="shared" ca="1" si="17"/>
        <v>-148.01011529876391</v>
      </c>
      <c r="T60" s="78">
        <f t="shared" ca="1" si="18"/>
        <v>31.989884701236093</v>
      </c>
      <c r="V60" s="72">
        <f t="shared" ca="1" si="19"/>
        <v>1000000000</v>
      </c>
      <c r="W60" s="72">
        <f t="shared" si="20"/>
        <v>4786.2874890000012</v>
      </c>
      <c r="Y60" s="110">
        <f t="shared" si="21"/>
        <v>49.578626078348421</v>
      </c>
      <c r="Z60" s="111">
        <f t="shared" si="22"/>
        <v>-78.776536924176355</v>
      </c>
      <c r="AA60" s="72">
        <f t="shared" si="23"/>
        <v>101.22346307582364</v>
      </c>
      <c r="AB60" s="110">
        <f t="shared" ca="1" si="24"/>
        <v>12.736739310979392</v>
      </c>
      <c r="AC60" s="111">
        <f t="shared" ca="1" si="25"/>
        <v>-69.233578374587594</v>
      </c>
      <c r="AD60" s="72">
        <f t="shared" ca="1" si="26"/>
        <v>110.76642162541241</v>
      </c>
    </row>
    <row r="61" spans="1:30">
      <c r="A61" s="115">
        <v>75.858000000000004</v>
      </c>
      <c r="B61" s="101">
        <f t="shared" ca="1" si="0"/>
        <v>4.0165324282457551</v>
      </c>
      <c r="C61" s="102">
        <f t="shared" ca="1" si="1"/>
        <v>1.3191786971849024</v>
      </c>
      <c r="D61" s="102">
        <f t="shared" si="2"/>
        <v>1.0050682042139647</v>
      </c>
      <c r="E61" s="103">
        <f t="shared" si="3"/>
        <v>0.10046781380455923</v>
      </c>
      <c r="F61" s="101">
        <f t="shared" si="4"/>
        <v>5.8063197307313654</v>
      </c>
      <c r="G61" s="104">
        <f t="shared" si="5"/>
        <v>1.3977071992969725</v>
      </c>
      <c r="H61" s="113">
        <f t="shared" si="6"/>
        <v>1.0000255569771825</v>
      </c>
      <c r="I61" s="114">
        <f t="shared" si="7"/>
        <v>7.1493262473029196E-3</v>
      </c>
      <c r="J61" s="101">
        <f t="shared" si="8"/>
        <v>1.0000000011358801</v>
      </c>
      <c r="K61" s="104">
        <f t="shared" si="9"/>
        <v>4.7662987012647041E-5</v>
      </c>
      <c r="L61" s="102">
        <f t="shared" si="10"/>
        <v>1</v>
      </c>
      <c r="M61" s="103">
        <f t="shared" si="11"/>
        <v>2.5023068200588502E-12</v>
      </c>
      <c r="N61" s="101">
        <f t="shared" si="12"/>
        <v>1</v>
      </c>
      <c r="O61" s="104">
        <f t="shared" si="13"/>
        <v>4.0036909120941605E-13</v>
      </c>
      <c r="P61" s="105">
        <f t="shared" ca="1" si="14"/>
        <v>1.0000089325319961</v>
      </c>
      <c r="Q61" s="106">
        <f t="shared" ca="1" si="15"/>
        <v>4.3607122696953113E-3</v>
      </c>
      <c r="R61" s="107">
        <f t="shared" ca="1" si="16"/>
        <v>44.885160200894568</v>
      </c>
      <c r="S61" s="108">
        <f t="shared" ca="1" si="17"/>
        <v>-149.75266882650473</v>
      </c>
      <c r="T61" s="78">
        <f t="shared" ca="1" si="18"/>
        <v>30.247331173495269</v>
      </c>
      <c r="V61" s="72">
        <f t="shared" ca="1" si="19"/>
        <v>1000000000</v>
      </c>
      <c r="W61" s="72">
        <f t="shared" si="20"/>
        <v>5754.4361640000006</v>
      </c>
      <c r="Y61" s="110">
        <f t="shared" si="21"/>
        <v>48.804602685323829</v>
      </c>
      <c r="Z61" s="111">
        <f t="shared" si="22"/>
        <v>-79.675828273351868</v>
      </c>
      <c r="AA61" s="72">
        <f t="shared" si="23"/>
        <v>100.32417172664813</v>
      </c>
      <c r="AB61" s="110">
        <f t="shared" ca="1" si="24"/>
        <v>11.998157862452244</v>
      </c>
      <c r="AC61" s="111">
        <f t="shared" ca="1" si="25"/>
        <v>-70.076840553152849</v>
      </c>
      <c r="AD61" s="72">
        <f t="shared" ca="1" si="26"/>
        <v>109.92315944684715</v>
      </c>
    </row>
    <row r="62" spans="1:30">
      <c r="A62" s="115">
        <v>83.176000000000002</v>
      </c>
      <c r="B62" s="101">
        <f t="shared" ca="1" si="0"/>
        <v>4.3809844372406701</v>
      </c>
      <c r="C62" s="102">
        <f t="shared" ca="1" si="1"/>
        <v>1.3405070230266574</v>
      </c>
      <c r="D62" s="102">
        <f t="shared" si="2"/>
        <v>1.0060901235227626</v>
      </c>
      <c r="E62" s="103">
        <f t="shared" si="3"/>
        <v>0.11008519698801812</v>
      </c>
      <c r="F62" s="101">
        <f t="shared" si="4"/>
        <v>6.3505501912951612</v>
      </c>
      <c r="G62" s="104">
        <f t="shared" si="5"/>
        <v>1.4126715345059444</v>
      </c>
      <c r="H62" s="113">
        <f t="shared" si="6"/>
        <v>1.0000307256902567</v>
      </c>
      <c r="I62" s="114">
        <f t="shared" si="7"/>
        <v>7.8389927355479744E-3</v>
      </c>
      <c r="J62" s="101">
        <f t="shared" si="8"/>
        <v>1.0000000013656072</v>
      </c>
      <c r="K62" s="104">
        <f t="shared" si="9"/>
        <v>5.226102200370131E-5</v>
      </c>
      <c r="L62" s="102">
        <f t="shared" si="10"/>
        <v>1</v>
      </c>
      <c r="M62" s="103">
        <f t="shared" si="11"/>
        <v>2.7437036576922003E-12</v>
      </c>
      <c r="N62" s="101">
        <f t="shared" si="12"/>
        <v>1</v>
      </c>
      <c r="O62" s="104">
        <f t="shared" si="13"/>
        <v>4.3899258523075203E-13</v>
      </c>
      <c r="P62" s="105">
        <f t="shared" ca="1" si="14"/>
        <v>1.000010739089829</v>
      </c>
      <c r="Q62" s="106">
        <f t="shared" ca="1" si="15"/>
        <v>4.7813833871776529E-3</v>
      </c>
      <c r="R62" s="107">
        <f t="shared" ca="1" si="16"/>
        <v>43.361399661976009</v>
      </c>
      <c r="S62" s="108">
        <f t="shared" ca="1" si="17"/>
        <v>-151.26590081590118</v>
      </c>
      <c r="T62" s="78">
        <f t="shared" ca="1" si="18"/>
        <v>28.734099184098824</v>
      </c>
      <c r="V62" s="72">
        <f t="shared" ca="1" si="19"/>
        <v>1000000000</v>
      </c>
      <c r="W62" s="72">
        <f t="shared" si="20"/>
        <v>6918.2469760000004</v>
      </c>
      <c r="Y62" s="110">
        <f t="shared" si="21"/>
        <v>48.02643946105966</v>
      </c>
      <c r="Z62" s="111">
        <f t="shared" si="22"/>
        <v>-80.493969993919222</v>
      </c>
      <c r="AA62" s="72">
        <f t="shared" si="23"/>
        <v>99.506030006080778</v>
      </c>
      <c r="AB62" s="110">
        <f t="shared" ca="1" si="24"/>
        <v>11.252560547797861</v>
      </c>
      <c r="AC62" s="111">
        <f t="shared" ca="1" si="25"/>
        <v>-70.771930821981968</v>
      </c>
      <c r="AD62" s="72">
        <f t="shared" ca="1" si="26"/>
        <v>109.22806917801803</v>
      </c>
    </row>
    <row r="63" spans="1:30">
      <c r="A63" s="115">
        <v>91.201000000000008</v>
      </c>
      <c r="B63" s="101">
        <f t="shared" ca="1" si="0"/>
        <v>4.7825709152202274</v>
      </c>
      <c r="C63" s="102">
        <f t="shared" ca="1" si="1"/>
        <v>1.3601494099788176</v>
      </c>
      <c r="D63" s="102">
        <f t="shared" si="2"/>
        <v>1.0073175147366094</v>
      </c>
      <c r="E63" s="103">
        <f t="shared" si="3"/>
        <v>0.12060820799961257</v>
      </c>
      <c r="F63" s="101">
        <f t="shared" si="4"/>
        <v>6.9487254990761969</v>
      </c>
      <c r="G63" s="104">
        <f t="shared" si="5"/>
        <v>1.4263836119031921</v>
      </c>
      <c r="H63" s="113">
        <f t="shared" si="6"/>
        <v>1.0000369405568081</v>
      </c>
      <c r="I63" s="114">
        <f t="shared" si="7"/>
        <v>8.5952800621525299E-3</v>
      </c>
      <c r="J63" s="101">
        <f t="shared" si="8"/>
        <v>1.0000000016418329</v>
      </c>
      <c r="K63" s="104">
        <f t="shared" si="9"/>
        <v>5.7303278191808399E-5</v>
      </c>
      <c r="L63" s="102">
        <f t="shared" si="10"/>
        <v>1</v>
      </c>
      <c r="M63" s="103">
        <f t="shared" si="11"/>
        <v>3.0084221083628257E-12</v>
      </c>
      <c r="N63" s="101">
        <f t="shared" si="12"/>
        <v>1</v>
      </c>
      <c r="O63" s="104">
        <f t="shared" si="13"/>
        <v>4.8134753733805209E-13</v>
      </c>
      <c r="P63" s="105">
        <f t="shared" ca="1" si="14"/>
        <v>1.0000129113051075</v>
      </c>
      <c r="Q63" s="106">
        <f t="shared" ca="1" si="15"/>
        <v>5.2426942285374901E-3</v>
      </c>
      <c r="R63" s="107">
        <f t="shared" ca="1" si="16"/>
        <v>41.828354546100606</v>
      </c>
      <c r="S63" s="108">
        <f t="shared" ca="1" si="17"/>
        <v>-152.55743472610948</v>
      </c>
      <c r="T63" s="78">
        <f t="shared" ca="1" si="18"/>
        <v>27.442565273890523</v>
      </c>
      <c r="V63" s="72">
        <f t="shared" ca="1" si="19"/>
        <v>1000000000</v>
      </c>
      <c r="W63" s="72">
        <f t="shared" si="20"/>
        <v>8317.6224010000005</v>
      </c>
      <c r="Y63" s="110">
        <f t="shared" si="21"/>
        <v>47.244617379638719</v>
      </c>
      <c r="Z63" s="111">
        <f t="shared" si="22"/>
        <v>-81.236570986059178</v>
      </c>
      <c r="AA63" s="72">
        <f t="shared" si="23"/>
        <v>98.763429013940822</v>
      </c>
      <c r="AB63" s="110">
        <f t="shared" ca="1" si="24"/>
        <v>10.501337513343387</v>
      </c>
      <c r="AC63" s="111">
        <f t="shared" ca="1" si="25"/>
        <v>-71.320863740050342</v>
      </c>
      <c r="AD63" s="72">
        <f t="shared" ca="1" si="26"/>
        <v>108.67913625994966</v>
      </c>
    </row>
    <row r="64" spans="1:30">
      <c r="A64" s="115">
        <v>100</v>
      </c>
      <c r="B64" s="101">
        <f t="shared" ca="1" si="0"/>
        <v>5.2246683931852633</v>
      </c>
      <c r="C64" s="102">
        <f t="shared" ca="1" si="1"/>
        <v>1.3782083059748456</v>
      </c>
      <c r="D64" s="102">
        <f t="shared" si="2"/>
        <v>1.0087911500496358</v>
      </c>
      <c r="E64" s="103">
        <f t="shared" si="3"/>
        <v>0.13211529754790838</v>
      </c>
      <c r="F64" s="101">
        <f t="shared" si="4"/>
        <v>7.6058478304759678</v>
      </c>
      <c r="G64" s="104">
        <f t="shared" si="5"/>
        <v>1.43893677148458</v>
      </c>
      <c r="H64" s="113">
        <f t="shared" si="6"/>
        <v>1.0000444122334802</v>
      </c>
      <c r="I64" s="114">
        <f t="shared" si="7"/>
        <v>9.4244989083824473E-3</v>
      </c>
      <c r="J64" s="101">
        <f t="shared" si="8"/>
        <v>1.0000000019739208</v>
      </c>
      <c r="K64" s="104">
        <f t="shared" si="9"/>
        <v>6.2831852917316603E-5</v>
      </c>
      <c r="L64" s="102">
        <f t="shared" si="10"/>
        <v>1</v>
      </c>
      <c r="M64" s="103">
        <f t="shared" si="11"/>
        <v>3.2986722825000004E-12</v>
      </c>
      <c r="N64" s="101">
        <f t="shared" si="12"/>
        <v>1</v>
      </c>
      <c r="O64" s="104">
        <f t="shared" si="13"/>
        <v>5.2778756520000004E-13</v>
      </c>
      <c r="P64" s="105">
        <f t="shared" ca="1" si="14"/>
        <v>1.000015522811323</v>
      </c>
      <c r="Q64" s="106">
        <f t="shared" ca="1" si="15"/>
        <v>5.7484955154984722E-3</v>
      </c>
      <c r="R64" s="107">
        <f t="shared" ca="1" si="16"/>
        <v>40.288298534256704</v>
      </c>
      <c r="S64" s="108">
        <f t="shared" ca="1" si="17"/>
        <v>-153.63385495136686</v>
      </c>
      <c r="T64" s="78">
        <f t="shared" ca="1" si="18"/>
        <v>26.366145048633143</v>
      </c>
      <c r="V64" s="72">
        <f t="shared" ca="1" si="19"/>
        <v>1000000000</v>
      </c>
      <c r="W64" s="72">
        <f t="shared" si="20"/>
        <v>10000</v>
      </c>
      <c r="Y64" s="110">
        <f t="shared" si="21"/>
        <v>46.45983274174106</v>
      </c>
      <c r="Z64" s="111">
        <f t="shared" si="22"/>
        <v>-81.908620074197671</v>
      </c>
      <c r="AA64" s="72">
        <f t="shared" si="23"/>
        <v>98.091379925802329</v>
      </c>
      <c r="AB64" s="110">
        <f t="shared" ca="1" si="24"/>
        <v>9.7460661393971435</v>
      </c>
      <c r="AC64" s="111">
        <f t="shared" ca="1" si="25"/>
        <v>-71.7252348771692</v>
      </c>
      <c r="AD64" s="72">
        <f t="shared" ca="1" si="26"/>
        <v>108.2747651228308</v>
      </c>
    </row>
    <row r="65" spans="1:30">
      <c r="A65" s="115">
        <v>109.65</v>
      </c>
      <c r="B65" s="101">
        <f t="shared" ca="1" si="0"/>
        <v>5.7111642762478647</v>
      </c>
      <c r="C65" s="102">
        <f t="shared" ca="1" si="1"/>
        <v>1.3947934123998655</v>
      </c>
      <c r="D65" s="102">
        <f t="shared" si="2"/>
        <v>1.0105604062480542</v>
      </c>
      <c r="E65" s="103">
        <f t="shared" si="3"/>
        <v>0.14469485795609505</v>
      </c>
      <c r="F65" s="101">
        <f t="shared" si="4"/>
        <v>8.3276740079399705</v>
      </c>
      <c r="G65" s="104">
        <f t="shared" si="5"/>
        <v>1.4504243007486417</v>
      </c>
      <c r="H65" s="113">
        <f t="shared" si="6"/>
        <v>1.0000533971324845</v>
      </c>
      <c r="I65" s="114">
        <f t="shared" si="7"/>
        <v>1.0333901155703682E-2</v>
      </c>
      <c r="J65" s="101">
        <f t="shared" si="8"/>
        <v>1.0000000023732691</v>
      </c>
      <c r="K65" s="104">
        <f t="shared" si="9"/>
        <v>6.8895126705495539E-5</v>
      </c>
      <c r="L65" s="102">
        <f t="shared" si="10"/>
        <v>1</v>
      </c>
      <c r="M65" s="103">
        <f t="shared" si="11"/>
        <v>3.6169941577612506E-12</v>
      </c>
      <c r="N65" s="101">
        <f t="shared" si="12"/>
        <v>1</v>
      </c>
      <c r="O65" s="104">
        <f t="shared" si="13"/>
        <v>5.7871906524180005E-13</v>
      </c>
      <c r="P65" s="105">
        <f t="shared" ca="1" si="14"/>
        <v>1.0000186632370247</v>
      </c>
      <c r="Q65" s="106">
        <f t="shared" ca="1" si="15"/>
        <v>6.3032125614475706E-3</v>
      </c>
      <c r="R65" s="107">
        <f t="shared" ca="1" si="16"/>
        <v>38.742729491254103</v>
      </c>
      <c r="S65" s="108">
        <f t="shared" ca="1" si="17"/>
        <v>-154.50156821252051</v>
      </c>
      <c r="T65" s="78">
        <f t="shared" ca="1" si="18"/>
        <v>25.49843178747949</v>
      </c>
      <c r="V65" s="72">
        <f t="shared" ca="1" si="19"/>
        <v>1000000000</v>
      </c>
      <c r="W65" s="72">
        <f t="shared" si="20"/>
        <v>12023.122500000001</v>
      </c>
      <c r="Y65" s="110">
        <f t="shared" si="21"/>
        <v>45.672389099654602</v>
      </c>
      <c r="Z65" s="111">
        <f t="shared" si="22"/>
        <v>-82.515049508085951</v>
      </c>
      <c r="AA65" s="72">
        <f t="shared" si="23"/>
        <v>97.484950491914049</v>
      </c>
      <c r="AB65" s="110">
        <f t="shared" ca="1" si="24"/>
        <v>8.9879407384810097</v>
      </c>
      <c r="AC65" s="111">
        <f t="shared" ca="1" si="25"/>
        <v>-71.986518704434573</v>
      </c>
      <c r="AD65" s="72">
        <f t="shared" ca="1" si="26"/>
        <v>108.01348129556543</v>
      </c>
    </row>
    <row r="66" spans="1:30">
      <c r="A66" s="115">
        <v>120.23</v>
      </c>
      <c r="B66" s="101">
        <f t="shared" ca="1" si="0"/>
        <v>6.2460555211408106</v>
      </c>
      <c r="C66" s="102">
        <f t="shared" ca="1" si="1"/>
        <v>1.4100033118481083</v>
      </c>
      <c r="D66" s="102">
        <f t="shared" si="2"/>
        <v>1.0126832554593683</v>
      </c>
      <c r="E66" s="103">
        <f t="shared" si="3"/>
        <v>0.15843381173749224</v>
      </c>
      <c r="F66" s="101">
        <f t="shared" si="4"/>
        <v>9.1201180547864755</v>
      </c>
      <c r="G66" s="104">
        <f t="shared" si="5"/>
        <v>1.4609277173354858</v>
      </c>
      <c r="H66" s="113">
        <f t="shared" si="6"/>
        <v>1.0000641983715761</v>
      </c>
      <c r="I66" s="114">
        <f t="shared" si="7"/>
        <v>1.1330925579008971E-2</v>
      </c>
      <c r="J66" s="101">
        <f t="shared" si="8"/>
        <v>1.0000000028533524</v>
      </c>
      <c r="K66" s="104">
        <f t="shared" si="9"/>
        <v>7.5542736718199957E-5</v>
      </c>
      <c r="L66" s="102">
        <f t="shared" si="10"/>
        <v>1</v>
      </c>
      <c r="M66" s="103">
        <f t="shared" si="11"/>
        <v>3.9659936852497503E-12</v>
      </c>
      <c r="N66" s="101">
        <f t="shared" si="12"/>
        <v>1</v>
      </c>
      <c r="O66" s="104">
        <f t="shared" si="13"/>
        <v>6.3455898963996006E-13</v>
      </c>
      <c r="P66" s="105">
        <f t="shared" ca="1" si="14"/>
        <v>1.0000224385390726</v>
      </c>
      <c r="Q66" s="106">
        <f t="shared" ca="1" si="15"/>
        <v>6.9113853201978317E-3</v>
      </c>
      <c r="R66" s="107">
        <f t="shared" ca="1" si="16"/>
        <v>37.193858880363294</v>
      </c>
      <c r="S66" s="108">
        <f t="shared" ca="1" si="17"/>
        <v>-155.16574995352175</v>
      </c>
      <c r="T66" s="78">
        <f t="shared" ca="1" si="18"/>
        <v>24.834250046478246</v>
      </c>
      <c r="V66" s="72">
        <f t="shared" ca="1" si="19"/>
        <v>1000000000</v>
      </c>
      <c r="W66" s="72">
        <f t="shared" si="20"/>
        <v>14455.252900000001</v>
      </c>
      <c r="Y66" s="110">
        <f t="shared" si="21"/>
        <v>44.882948029166201</v>
      </c>
      <c r="Z66" s="111">
        <f t="shared" si="22"/>
        <v>-83.060106538056559</v>
      </c>
      <c r="AA66" s="72">
        <f t="shared" si="23"/>
        <v>96.939893461943441</v>
      </c>
      <c r="AB66" s="110">
        <f t="shared" ca="1" si="24"/>
        <v>8.2285111980785892</v>
      </c>
      <c r="AC66" s="111">
        <f t="shared" ca="1" si="25"/>
        <v>-72.105643415465238</v>
      </c>
      <c r="AD66" s="72">
        <f t="shared" ca="1" si="26"/>
        <v>107.89435658453476</v>
      </c>
    </row>
    <row r="67" spans="1:30">
      <c r="A67" s="115">
        <v>131.83000000000001</v>
      </c>
      <c r="B67" s="101">
        <f t="shared" ca="1" si="0"/>
        <v>6.8339026634649782</v>
      </c>
      <c r="C67" s="102">
        <f t="shared" ca="1" si="1"/>
        <v>1.4239397515952545</v>
      </c>
      <c r="D67" s="102">
        <f t="shared" si="2"/>
        <v>1.0152294591431368</v>
      </c>
      <c r="E67" s="103">
        <f t="shared" si="3"/>
        <v>0.17342812784337214</v>
      </c>
      <c r="F67" s="101">
        <f t="shared" si="4"/>
        <v>9.9899242574352716</v>
      </c>
      <c r="G67" s="104">
        <f t="shared" si="5"/>
        <v>1.4705275379589222</v>
      </c>
      <c r="H67" s="113">
        <f t="shared" si="6"/>
        <v>1.0000771834171955</v>
      </c>
      <c r="I67" s="114">
        <f t="shared" si="7"/>
        <v>1.2424045486272304E-2</v>
      </c>
      <c r="J67" s="101">
        <f t="shared" si="8"/>
        <v>1.0000000034305063</v>
      </c>
      <c r="K67" s="104">
        <f t="shared" si="9"/>
        <v>8.2831231620464623E-5</v>
      </c>
      <c r="L67" s="102">
        <f t="shared" si="10"/>
        <v>1</v>
      </c>
      <c r="M67" s="103">
        <f t="shared" si="11"/>
        <v>4.3486396700197505E-12</v>
      </c>
      <c r="N67" s="101">
        <f t="shared" si="12"/>
        <v>1</v>
      </c>
      <c r="O67" s="104">
        <f t="shared" si="13"/>
        <v>6.9578234720316011E-13</v>
      </c>
      <c r="P67" s="105">
        <f t="shared" ca="1" si="14"/>
        <v>1.0000269771710724</v>
      </c>
      <c r="Q67" s="106">
        <f t="shared" ca="1" si="15"/>
        <v>7.5781856339110854E-3</v>
      </c>
      <c r="R67" s="107">
        <f t="shared" ca="1" si="16"/>
        <v>35.643250201283465</v>
      </c>
      <c r="S67" s="108">
        <f t="shared" ca="1" si="17"/>
        <v>-155.63115859580137</v>
      </c>
      <c r="T67" s="78">
        <f t="shared" ca="1" si="18"/>
        <v>24.368841404198633</v>
      </c>
      <c r="V67" s="72">
        <f t="shared" ca="1" si="19"/>
        <v>1000000000</v>
      </c>
      <c r="W67" s="72">
        <f t="shared" si="20"/>
        <v>17379.148900000004</v>
      </c>
      <c r="Y67" s="110">
        <f t="shared" si="21"/>
        <v>44.09182609483517</v>
      </c>
      <c r="Z67" s="111">
        <f t="shared" si="22"/>
        <v>-83.547922187210091</v>
      </c>
      <c r="AA67" s="72">
        <f t="shared" si="23"/>
        <v>96.452077812789909</v>
      </c>
      <c r="AB67" s="110">
        <f t="shared" ca="1" si="24"/>
        <v>7.469024453329796</v>
      </c>
      <c r="AC67" s="111">
        <f t="shared" ca="1" si="25"/>
        <v>-72.08323640859129</v>
      </c>
      <c r="AD67" s="72">
        <f t="shared" ca="1" si="26"/>
        <v>107.91676359140871</v>
      </c>
    </row>
    <row r="68" spans="1:30">
      <c r="A68" s="115">
        <v>144.54</v>
      </c>
      <c r="B68" s="101">
        <f t="shared" ca="1" si="0"/>
        <v>7.4792734175747029</v>
      </c>
      <c r="C68" s="102">
        <f t="shared" ca="1" si="1"/>
        <v>1.4366919054980749</v>
      </c>
      <c r="D68" s="102">
        <f t="shared" si="2"/>
        <v>1.0182799571141972</v>
      </c>
      <c r="E68" s="103">
        <f t="shared" si="3"/>
        <v>0.18976706139937907</v>
      </c>
      <c r="F68" s="101">
        <f t="shared" si="4"/>
        <v>10.943842797659874</v>
      </c>
      <c r="G68" s="104">
        <f t="shared" si="5"/>
        <v>1.4792931084077603</v>
      </c>
      <c r="H68" s="113">
        <f t="shared" si="6"/>
        <v>1.0000927829575206</v>
      </c>
      <c r="I68" s="114">
        <f t="shared" si="7"/>
        <v>1.3621731475180494E-2</v>
      </c>
      <c r="J68" s="101">
        <f t="shared" si="8"/>
        <v>1.0000000041238783</v>
      </c>
      <c r="K68" s="104">
        <f t="shared" si="9"/>
        <v>9.0817160076520705E-5</v>
      </c>
      <c r="L68" s="102">
        <f t="shared" si="10"/>
        <v>1</v>
      </c>
      <c r="M68" s="103">
        <f t="shared" si="11"/>
        <v>4.7679009171254999E-12</v>
      </c>
      <c r="N68" s="101">
        <f t="shared" si="12"/>
        <v>1</v>
      </c>
      <c r="O68" s="104">
        <f t="shared" si="13"/>
        <v>7.6286414674008001E-13</v>
      </c>
      <c r="P68" s="105">
        <f t="shared" ca="1" si="14"/>
        <v>1.0000324296919638</v>
      </c>
      <c r="Q68" s="106">
        <f t="shared" ca="1" si="15"/>
        <v>8.3087847853476511E-3</v>
      </c>
      <c r="R68" s="107">
        <f t="shared" ca="1" si="16"/>
        <v>34.093432573768752</v>
      </c>
      <c r="S68" s="108">
        <f t="shared" ca="1" si="17"/>
        <v>-155.90157690720503</v>
      </c>
      <c r="T68" s="78">
        <f t="shared" ca="1" si="18"/>
        <v>24.098423092794974</v>
      </c>
      <c r="V68" s="72">
        <f t="shared" ca="1" si="19"/>
        <v>1000000000</v>
      </c>
      <c r="W68" s="72">
        <f t="shared" si="20"/>
        <v>20891.811599999997</v>
      </c>
      <c r="Y68" s="110">
        <f t="shared" si="21"/>
        <v>43.299808562099649</v>
      </c>
      <c r="Z68" s="111">
        <f t="shared" si="22"/>
        <v>-83.981987587078535</v>
      </c>
      <c r="AA68" s="72">
        <f t="shared" si="23"/>
        <v>96.018012412921465</v>
      </c>
      <c r="AB68" s="110">
        <f t="shared" ca="1" si="24"/>
        <v>6.7112243585506075</v>
      </c>
      <c r="AC68" s="111">
        <f t="shared" ca="1" si="25"/>
        <v>-71.919589320126462</v>
      </c>
      <c r="AD68" s="72">
        <f t="shared" ca="1" si="26"/>
        <v>108.08041067987354</v>
      </c>
    </row>
    <row r="69" spans="1:30">
      <c r="A69" s="115">
        <v>158.49</v>
      </c>
      <c r="B69" s="101">
        <f t="shared" ca="1" si="0"/>
        <v>8.1887756343037008</v>
      </c>
      <c r="C69" s="102">
        <f t="shared" ca="1" si="1"/>
        <v>1.4483723702732909</v>
      </c>
      <c r="D69" s="102">
        <f t="shared" si="2"/>
        <v>1.0219389666482137</v>
      </c>
      <c r="E69" s="103">
        <f t="shared" si="3"/>
        <v>0.20758244860830949</v>
      </c>
      <c r="F69" s="101">
        <f t="shared" si="4"/>
        <v>11.991632940232586</v>
      </c>
      <c r="G69" s="104">
        <f t="shared" si="5"/>
        <v>1.4873078919677654</v>
      </c>
      <c r="H69" s="113">
        <f t="shared" si="6"/>
        <v>1.0001115556999858</v>
      </c>
      <c r="I69" s="114">
        <f t="shared" si="7"/>
        <v>1.4936219763451336E-2</v>
      </c>
      <c r="J69" s="101">
        <f t="shared" si="8"/>
        <v>1.0000000049583075</v>
      </c>
      <c r="K69" s="104">
        <f t="shared" si="9"/>
        <v>9.95822034905272E-5</v>
      </c>
      <c r="L69" s="102">
        <f t="shared" si="10"/>
        <v>1</v>
      </c>
      <c r="M69" s="103">
        <f t="shared" si="11"/>
        <v>5.2280657005342511E-12</v>
      </c>
      <c r="N69" s="101">
        <f t="shared" si="12"/>
        <v>1</v>
      </c>
      <c r="O69" s="104">
        <f t="shared" si="13"/>
        <v>8.3649051208548012E-13</v>
      </c>
      <c r="P69" s="105">
        <f t="shared" ca="1" si="14"/>
        <v>1.0000389914184653</v>
      </c>
      <c r="Q69" s="106">
        <f t="shared" ca="1" si="15"/>
        <v>9.1106525927937866E-3</v>
      </c>
      <c r="R69" s="107">
        <f t="shared" ca="1" si="16"/>
        <v>32.543333036772452</v>
      </c>
      <c r="S69" s="108">
        <f t="shared" ca="1" si="17"/>
        <v>-155.98041622583176</v>
      </c>
      <c r="T69" s="78">
        <f t="shared" ca="1" si="18"/>
        <v>24.01958377416824</v>
      </c>
      <c r="V69" s="72">
        <f t="shared" ca="1" si="19"/>
        <v>1000000000</v>
      </c>
      <c r="W69" s="72">
        <f t="shared" si="20"/>
        <v>25119.080100000003</v>
      </c>
      <c r="Y69" s="110">
        <f t="shared" si="21"/>
        <v>42.505801987733577</v>
      </c>
      <c r="Z69" s="111">
        <f t="shared" si="22"/>
        <v>-84.366388428052346</v>
      </c>
      <c r="AA69" s="72">
        <f t="shared" si="23"/>
        <v>95.633611571947654</v>
      </c>
      <c r="AB69" s="110">
        <f t="shared" ca="1" si="24"/>
        <v>5.9551313959203798</v>
      </c>
      <c r="AC69" s="111">
        <f t="shared" ca="1" si="25"/>
        <v>-71.614027797779414</v>
      </c>
      <c r="AD69" s="72">
        <f t="shared" ca="1" si="26"/>
        <v>108.38597220222059</v>
      </c>
    </row>
    <row r="70" spans="1:30">
      <c r="A70" s="115">
        <v>173.78</v>
      </c>
      <c r="B70" s="101">
        <f t="shared" ca="1" si="0"/>
        <v>8.9675011731209633</v>
      </c>
      <c r="C70" s="102">
        <f t="shared" ca="1" si="1"/>
        <v>1.4590501202340078</v>
      </c>
      <c r="D70" s="102">
        <f t="shared" si="2"/>
        <v>1.0263191713494551</v>
      </c>
      <c r="E70" s="103">
        <f t="shared" si="3"/>
        <v>0.22695636821766044</v>
      </c>
      <c r="F70" s="101">
        <f t="shared" si="4"/>
        <v>13.140807954409253</v>
      </c>
      <c r="G70" s="104">
        <f t="shared" si="5"/>
        <v>1.4946238647092922</v>
      </c>
      <c r="H70" s="113">
        <f t="shared" si="6"/>
        <v>1.0001341166576851</v>
      </c>
      <c r="I70" s="114">
        <f t="shared" si="7"/>
        <v>1.6376914850000219E-2</v>
      </c>
      <c r="J70" s="101">
        <f t="shared" si="8"/>
        <v>1.00000000596114</v>
      </c>
      <c r="K70" s="104">
        <f t="shared" si="9"/>
        <v>1.0918919370947194E-4</v>
      </c>
      <c r="L70" s="102">
        <f t="shared" si="10"/>
        <v>1</v>
      </c>
      <c r="M70" s="103">
        <f t="shared" si="11"/>
        <v>5.7324326925285004E-12</v>
      </c>
      <c r="N70" s="101">
        <f t="shared" si="12"/>
        <v>1</v>
      </c>
      <c r="O70" s="104">
        <f t="shared" si="13"/>
        <v>9.1718923080456002E-13</v>
      </c>
      <c r="P70" s="105">
        <f t="shared" ca="1" si="14"/>
        <v>1.0000468773641948</v>
      </c>
      <c r="Q70" s="106">
        <f t="shared" ca="1" si="15"/>
        <v>9.9895334238954345E-3</v>
      </c>
      <c r="R70" s="107">
        <f t="shared" ca="1" si="16"/>
        <v>30.996685876150799</v>
      </c>
      <c r="S70" s="108">
        <f t="shared" ca="1" si="17"/>
        <v>-155.86969762229265</v>
      </c>
      <c r="T70" s="78">
        <f t="shared" ca="1" si="18"/>
        <v>24.130302377707352</v>
      </c>
      <c r="V70" s="72">
        <f t="shared" ca="1" si="19"/>
        <v>1000000000</v>
      </c>
      <c r="W70" s="72">
        <f t="shared" si="20"/>
        <v>30199.488400000002</v>
      </c>
      <c r="Y70" s="110">
        <f t="shared" si="21"/>
        <v>41.711123078297945</v>
      </c>
      <c r="Z70" s="111">
        <f t="shared" si="22"/>
        <v>-84.703567481504479</v>
      </c>
      <c r="AA70" s="72">
        <f t="shared" si="23"/>
        <v>95.296432518495521</v>
      </c>
      <c r="AB70" s="110">
        <f t="shared" ca="1" si="24"/>
        <v>5.203163144734356</v>
      </c>
      <c r="AC70" s="111">
        <f t="shared" ca="1" si="25"/>
        <v>-71.166130140788198</v>
      </c>
      <c r="AD70" s="72">
        <f t="shared" ca="1" si="26"/>
        <v>108.8338698592118</v>
      </c>
    </row>
    <row r="71" spans="1:30">
      <c r="A71" s="115">
        <v>190.55</v>
      </c>
      <c r="B71" s="101">
        <f t="shared" ca="1" si="0"/>
        <v>9.8225838288599281</v>
      </c>
      <c r="C71" s="102">
        <f t="shared" ca="1" si="1"/>
        <v>1.468813432933145</v>
      </c>
      <c r="D71" s="102">
        <f t="shared" si="2"/>
        <v>1.0315622711535359</v>
      </c>
      <c r="E71" s="103">
        <f t="shared" si="3"/>
        <v>0.24800759879116918</v>
      </c>
      <c r="F71" s="101">
        <f t="shared" si="4"/>
        <v>14.401891116754685</v>
      </c>
      <c r="G71" s="104">
        <f t="shared" si="5"/>
        <v>1.501305085379055</v>
      </c>
      <c r="H71" s="113">
        <f t="shared" si="6"/>
        <v>1.0001612483024134</v>
      </c>
      <c r="I71" s="114">
        <f t="shared" si="7"/>
        <v>1.7956984038637481E-2</v>
      </c>
      <c r="J71" s="101">
        <f t="shared" si="8"/>
        <v>1.0000000071671689</v>
      </c>
      <c r="K71" s="104">
        <f t="shared" si="9"/>
        <v>1.1972609531943522E-4</v>
      </c>
      <c r="L71" s="102">
        <f t="shared" si="10"/>
        <v>1</v>
      </c>
      <c r="M71" s="103">
        <f t="shared" si="11"/>
        <v>6.2856200343037511E-12</v>
      </c>
      <c r="N71" s="101">
        <f t="shared" si="12"/>
        <v>1</v>
      </c>
      <c r="O71" s="104">
        <f t="shared" si="13"/>
        <v>1.0056992054886E-12</v>
      </c>
      <c r="P71" s="105">
        <f t="shared" ca="1" si="14"/>
        <v>1.0000563610991375</v>
      </c>
      <c r="Q71" s="106">
        <f t="shared" ca="1" si="15"/>
        <v>1.0953469600457757E-2</v>
      </c>
      <c r="R71" s="107">
        <f t="shared" ca="1" si="16"/>
        <v>29.454064155724087</v>
      </c>
      <c r="S71" s="108">
        <f t="shared" ca="1" si="17"/>
        <v>-155.57105521338687</v>
      </c>
      <c r="T71" s="78">
        <f t="shared" ca="1" si="18"/>
        <v>24.42894478661313</v>
      </c>
      <c r="V71" s="72">
        <f t="shared" ca="1" si="19"/>
        <v>1000000000</v>
      </c>
      <c r="W71" s="72">
        <f t="shared" si="20"/>
        <v>36309.302500000005</v>
      </c>
      <c r="Y71" s="110">
        <f t="shared" si="21"/>
        <v>40.915409599279748</v>
      </c>
      <c r="Z71" s="111">
        <f t="shared" si="22"/>
        <v>-84.996445652329314</v>
      </c>
      <c r="AA71" s="72">
        <f t="shared" si="23"/>
        <v>95.003554347670686</v>
      </c>
      <c r="AB71" s="110">
        <f t="shared" ca="1" si="24"/>
        <v>4.4562549033258438</v>
      </c>
      <c r="AC71" s="111">
        <f t="shared" ca="1" si="25"/>
        <v>-70.574609561057528</v>
      </c>
      <c r="AD71" s="72">
        <f t="shared" ca="1" si="26"/>
        <v>109.42539043894247</v>
      </c>
    </row>
    <row r="72" spans="1:30">
      <c r="A72" s="115">
        <v>208.93</v>
      </c>
      <c r="B72" s="101">
        <f t="shared" ca="1" si="0"/>
        <v>10.760654775628502</v>
      </c>
      <c r="C72" s="102">
        <f t="shared" ca="1" si="1"/>
        <v>1.4777308944420851</v>
      </c>
      <c r="D72" s="102">
        <f t="shared" si="2"/>
        <v>1.037828101087793</v>
      </c>
      <c r="E72" s="103">
        <f t="shared" si="3"/>
        <v>0.27082428418191318</v>
      </c>
      <c r="F72" s="101">
        <f t="shared" si="4"/>
        <v>15.784659030055659</v>
      </c>
      <c r="G72" s="104">
        <f t="shared" si="5"/>
        <v>1.5074012204740759</v>
      </c>
      <c r="H72" s="113">
        <f t="shared" si="6"/>
        <v>1.0001938526642404</v>
      </c>
      <c r="I72" s="114">
        <f t="shared" si="7"/>
        <v>1.9688644123295226E-2</v>
      </c>
      <c r="J72" s="101">
        <f t="shared" si="8"/>
        <v>1.0000000086165091</v>
      </c>
      <c r="K72" s="104">
        <f t="shared" si="9"/>
        <v>1.3127458971881422E-4</v>
      </c>
      <c r="L72" s="102">
        <f t="shared" si="10"/>
        <v>1</v>
      </c>
      <c r="M72" s="103">
        <f t="shared" si="11"/>
        <v>6.891915999827251E-12</v>
      </c>
      <c r="N72" s="101">
        <f t="shared" si="12"/>
        <v>1</v>
      </c>
      <c r="O72" s="104">
        <f t="shared" si="13"/>
        <v>1.1027065599723601E-12</v>
      </c>
      <c r="P72" s="105">
        <f t="shared" ca="1" si="14"/>
        <v>1.0000677580176818</v>
      </c>
      <c r="Q72" s="106">
        <f t="shared" ca="1" si="15"/>
        <v>1.2009926930392168E-2</v>
      </c>
      <c r="R72" s="107">
        <f t="shared" ca="1" si="16"/>
        <v>27.918275099009641</v>
      </c>
      <c r="S72" s="108">
        <f t="shared" ca="1" si="17"/>
        <v>-155.08594656998238</v>
      </c>
      <c r="T72" s="116">
        <f t="shared" ca="1" si="18"/>
        <v>24.914053430017617</v>
      </c>
      <c r="V72" s="72">
        <f t="shared" ca="1" si="19"/>
        <v>1000000000</v>
      </c>
      <c r="W72" s="72">
        <f t="shared" si="20"/>
        <v>43651.744900000005</v>
      </c>
      <c r="Y72" s="110">
        <f t="shared" si="21"/>
        <v>40.119379098293223</v>
      </c>
      <c r="Z72" s="111">
        <f t="shared" si="22"/>
        <v>-85.247173330459574</v>
      </c>
      <c r="AA72" s="72">
        <f t="shared" si="23"/>
        <v>94.752826669540426</v>
      </c>
      <c r="AB72" s="110">
        <f t="shared" ca="1" si="24"/>
        <v>3.7164963475979249</v>
      </c>
      <c r="AC72" s="111">
        <f t="shared" ca="1" si="25"/>
        <v>-69.838773239522794</v>
      </c>
      <c r="AD72" s="72">
        <f t="shared" ca="1" si="26"/>
        <v>110.16122676047721</v>
      </c>
    </row>
    <row r="73" spans="1:30">
      <c r="A73" s="115">
        <v>229.09</v>
      </c>
      <c r="B73" s="101">
        <f t="shared" ca="1" si="0"/>
        <v>11.790392444654858</v>
      </c>
      <c r="C73" s="102">
        <f t="shared" ca="1" si="1"/>
        <v>1.4858794906484449</v>
      </c>
      <c r="D73" s="102">
        <f t="shared" si="2"/>
        <v>1.0453140359528901</v>
      </c>
      <c r="E73" s="103">
        <f t="shared" si="3"/>
        <v>0.29552176809816794</v>
      </c>
      <c r="F73" s="101">
        <f t="shared" si="4"/>
        <v>17.301901776179559</v>
      </c>
      <c r="G73" s="104">
        <f t="shared" si="5"/>
        <v>1.5129669851068348</v>
      </c>
      <c r="H73" s="113">
        <f t="shared" si="6"/>
        <v>1.0002330633134588</v>
      </c>
      <c r="I73" s="114">
        <f t="shared" si="7"/>
        <v>2.1587869604761546E-2</v>
      </c>
      <c r="J73" s="101">
        <f t="shared" si="8"/>
        <v>1.0000000103595765</v>
      </c>
      <c r="K73" s="104">
        <f t="shared" si="9"/>
        <v>1.4394149104358472E-4</v>
      </c>
      <c r="L73" s="102">
        <f t="shared" si="10"/>
        <v>1</v>
      </c>
      <c r="M73" s="103">
        <f t="shared" si="11"/>
        <v>7.5569283319792516E-12</v>
      </c>
      <c r="N73" s="101">
        <f t="shared" si="12"/>
        <v>1</v>
      </c>
      <c r="O73" s="104">
        <f t="shared" si="13"/>
        <v>1.2091085331166801E-12</v>
      </c>
      <c r="P73" s="105">
        <f t="shared" ca="1" si="14"/>
        <v>1.0000814644976761</v>
      </c>
      <c r="Q73" s="106">
        <f t="shared" ca="1" si="15"/>
        <v>1.3168668122543596E-2</v>
      </c>
      <c r="R73" s="107">
        <f t="shared" ca="1" si="16"/>
        <v>26.389959677635826</v>
      </c>
      <c r="S73" s="108">
        <f t="shared" ca="1" si="17"/>
        <v>-154.41495910640299</v>
      </c>
      <c r="T73" s="116">
        <f t="shared" ca="1" si="18"/>
        <v>25.585040893597011</v>
      </c>
      <c r="V73" s="72">
        <f t="shared" ca="1" si="19"/>
        <v>1000000000</v>
      </c>
      <c r="W73" s="72">
        <f t="shared" si="20"/>
        <v>52482.2281</v>
      </c>
      <c r="Y73" s="110">
        <f t="shared" si="21"/>
        <v>39.322546845981321</v>
      </c>
      <c r="Z73" s="111">
        <f t="shared" si="22"/>
        <v>-85.457976309442401</v>
      </c>
      <c r="AA73" s="72">
        <f t="shared" si="23"/>
        <v>94.542023690557599</v>
      </c>
      <c r="AB73" s="110">
        <f t="shared" ca="1" si="24"/>
        <v>2.9850131785360072</v>
      </c>
      <c r="AC73" s="111">
        <f t="shared" ca="1" si="25"/>
        <v>-68.956982796960546</v>
      </c>
      <c r="AD73" s="72">
        <f t="shared" ca="1" si="26"/>
        <v>111.04301720303945</v>
      </c>
    </row>
    <row r="74" spans="1:30">
      <c r="A74" s="115">
        <v>251.19</v>
      </c>
      <c r="B74" s="101">
        <f t="shared" ca="1" si="0"/>
        <v>12.919971122924355</v>
      </c>
      <c r="C74" s="102">
        <f t="shared" ca="1" si="1"/>
        <v>1.4933192844524723</v>
      </c>
      <c r="D74" s="102">
        <f t="shared" si="2"/>
        <v>1.0542417410926528</v>
      </c>
      <c r="E74" s="103">
        <f t="shared" si="3"/>
        <v>0.32217481996902447</v>
      </c>
      <c r="F74" s="101">
        <f t="shared" si="4"/>
        <v>18.965661570732781</v>
      </c>
      <c r="G74" s="104">
        <f t="shared" si="5"/>
        <v>1.518044993510776</v>
      </c>
      <c r="H74" s="113">
        <f t="shared" si="6"/>
        <v>1.0002801922452276</v>
      </c>
      <c r="I74" s="114">
        <f t="shared" si="7"/>
        <v>2.366967840033414E-2</v>
      </c>
      <c r="J74" s="101">
        <f t="shared" si="8"/>
        <v>1.0000000124547332</v>
      </c>
      <c r="K74" s="104">
        <f t="shared" si="9"/>
        <v>1.5782733024023512E-4</v>
      </c>
      <c r="L74" s="102">
        <f t="shared" si="10"/>
        <v>1</v>
      </c>
      <c r="M74" s="103">
        <f t="shared" si="11"/>
        <v>8.2859349064117504E-12</v>
      </c>
      <c r="N74" s="101">
        <f t="shared" si="12"/>
        <v>1</v>
      </c>
      <c r="O74" s="104">
        <f t="shared" si="13"/>
        <v>1.32574958502588E-12</v>
      </c>
      <c r="P74" s="105">
        <f t="shared" ca="1" si="14"/>
        <v>1.0000979393570983</v>
      </c>
      <c r="Q74" s="106">
        <f t="shared" ca="1" si="15"/>
        <v>1.4438878116585745E-2</v>
      </c>
      <c r="R74" s="107">
        <f t="shared" ca="1" si="16"/>
        <v>24.871945605024703</v>
      </c>
      <c r="S74" s="108">
        <f t="shared" ca="1" si="17"/>
        <v>-153.55936337133838</v>
      </c>
      <c r="T74" s="116">
        <f t="shared" ca="1" si="18"/>
        <v>26.440636628661622</v>
      </c>
      <c r="V74" s="72">
        <f t="shared" ca="1" si="19"/>
        <v>1000000000</v>
      </c>
      <c r="W74" s="72">
        <f t="shared" si="20"/>
        <v>63096.416100000002</v>
      </c>
      <c r="Y74" s="110">
        <f t="shared" si="21"/>
        <v>38.525472990882875</v>
      </c>
      <c r="Z74" s="111">
        <f t="shared" si="22"/>
        <v>-85.630441501723638</v>
      </c>
      <c r="AA74" s="72">
        <f t="shared" si="23"/>
        <v>94.369558498276362</v>
      </c>
      <c r="AB74" s="110">
        <f t="shared" ca="1" si="24"/>
        <v>2.2640729610233352</v>
      </c>
      <c r="AC74" s="111">
        <f t="shared" ca="1" si="25"/>
        <v>-67.928921869614783</v>
      </c>
      <c r="AD74" s="72">
        <f t="shared" ca="1" si="26"/>
        <v>112.07107813038522</v>
      </c>
    </row>
    <row r="75" spans="1:30">
      <c r="A75" s="115">
        <v>275.42</v>
      </c>
      <c r="B75" s="101">
        <f t="shared" ca="1" si="0"/>
        <v>14.159103057856532</v>
      </c>
      <c r="C75" s="102">
        <f t="shared" ca="1" si="1"/>
        <v>1.5001115380202681</v>
      </c>
      <c r="D75" s="102">
        <f t="shared" si="2"/>
        <v>1.0648750420024846</v>
      </c>
      <c r="E75" s="103">
        <f t="shared" si="3"/>
        <v>0.35086044786169929</v>
      </c>
      <c r="F75" s="101">
        <f t="shared" si="4"/>
        <v>20.7902424137888</v>
      </c>
      <c r="G75" s="104">
        <f t="shared" si="5"/>
        <v>1.5226782733575721</v>
      </c>
      <c r="H75" s="113">
        <f t="shared" si="6"/>
        <v>1.0003368449705643</v>
      </c>
      <c r="I75" s="114">
        <f t="shared" si="7"/>
        <v>2.5951895651624639E-2</v>
      </c>
      <c r="J75" s="101">
        <f t="shared" si="8"/>
        <v>1.000000014973409</v>
      </c>
      <c r="K75" s="104">
        <f t="shared" si="9"/>
        <v>1.7305148780515287E-4</v>
      </c>
      <c r="L75" s="102">
        <f t="shared" si="10"/>
        <v>1</v>
      </c>
      <c r="M75" s="103">
        <f t="shared" si="11"/>
        <v>9.0852032004615017E-12</v>
      </c>
      <c r="N75" s="101">
        <f t="shared" si="12"/>
        <v>1</v>
      </c>
      <c r="O75" s="104">
        <f t="shared" si="13"/>
        <v>1.4536325120738402E-12</v>
      </c>
      <c r="P75" s="105">
        <f t="shared" ca="1" si="14"/>
        <v>1.0001177441184399</v>
      </c>
      <c r="Q75" s="106">
        <f t="shared" ca="1" si="15"/>
        <v>1.5831462242815349E-2</v>
      </c>
      <c r="R75" s="107">
        <f t="shared" ca="1" si="16"/>
        <v>23.366119197065451</v>
      </c>
      <c r="S75" s="108">
        <f t="shared" ca="1" si="17"/>
        <v>-152.52033285911557</v>
      </c>
      <c r="T75" s="116">
        <f t="shared" ca="1" si="18"/>
        <v>27.47966714088443</v>
      </c>
      <c r="V75" s="72">
        <f t="shared" ca="1" si="19"/>
        <v>1000000000</v>
      </c>
      <c r="W75" s="72">
        <f t="shared" si="20"/>
        <v>75856.176400000011</v>
      </c>
      <c r="Y75" s="110">
        <f t="shared" si="21"/>
        <v>37.728133764130867</v>
      </c>
      <c r="Z75" s="111">
        <f t="shared" si="22"/>
        <v>-85.766019745908736</v>
      </c>
      <c r="AA75" s="72">
        <f t="shared" si="23"/>
        <v>94.233980254091264</v>
      </c>
      <c r="AB75" s="110">
        <f t="shared" ca="1" si="24"/>
        <v>1.5555857798160886</v>
      </c>
      <c r="AC75" s="111">
        <f t="shared" ca="1" si="25"/>
        <v>-66.754313113206805</v>
      </c>
      <c r="AD75" s="72">
        <f t="shared" ca="1" si="26"/>
        <v>113.24568688679319</v>
      </c>
    </row>
    <row r="76" spans="1:30">
      <c r="A76" s="115">
        <v>302</v>
      </c>
      <c r="B76" s="101">
        <f t="shared" ca="1" si="0"/>
        <v>15.51904044749285</v>
      </c>
      <c r="C76" s="102">
        <f t="shared" ca="1" si="1"/>
        <v>1.5063146779329561</v>
      </c>
      <c r="D76" s="102">
        <f t="shared" si="2"/>
        <v>1.0775260895821446</v>
      </c>
      <c r="E76" s="103">
        <f t="shared" si="3"/>
        <v>0.38164886690681366</v>
      </c>
      <c r="F76" s="101">
        <f t="shared" si="4"/>
        <v>22.792211413071236</v>
      </c>
      <c r="G76" s="104">
        <f t="shared" si="5"/>
        <v>1.5269076013555731</v>
      </c>
      <c r="H76" s="113">
        <f t="shared" si="6"/>
        <v>1.0004049843228322</v>
      </c>
      <c r="I76" s="114">
        <f t="shared" si="7"/>
        <v>2.8455146920407893E-2</v>
      </c>
      <c r="J76" s="101">
        <f t="shared" si="8"/>
        <v>1.0000000180029478</v>
      </c>
      <c r="K76" s="104">
        <f t="shared" si="9"/>
        <v>1.8975219378260076E-4</v>
      </c>
      <c r="L76" s="102">
        <f t="shared" si="10"/>
        <v>1</v>
      </c>
      <c r="M76" s="103">
        <f t="shared" si="11"/>
        <v>9.9619902931500016E-12</v>
      </c>
      <c r="N76" s="101">
        <f t="shared" si="12"/>
        <v>1</v>
      </c>
      <c r="O76" s="104">
        <f t="shared" si="13"/>
        <v>1.5939184469040001E-12</v>
      </c>
      <c r="P76" s="105">
        <f t="shared" ca="1" si="14"/>
        <v>1.0001415653638601</v>
      </c>
      <c r="Q76" s="106">
        <f t="shared" ca="1" si="15"/>
        <v>1.7359044814846552E-2</v>
      </c>
      <c r="R76" s="107">
        <f t="shared" ca="1" si="16"/>
        <v>21.873966166220875</v>
      </c>
      <c r="S76" s="108">
        <f t="shared" ca="1" si="17"/>
        <v>-151.29907795114124</v>
      </c>
      <c r="T76" s="116">
        <f t="shared" ca="1" si="18"/>
        <v>28.700922048858757</v>
      </c>
      <c r="V76" s="72">
        <f t="shared" ca="1" si="19"/>
        <v>1000000000</v>
      </c>
      <c r="W76" s="72">
        <f t="shared" si="20"/>
        <v>91204</v>
      </c>
      <c r="Y76" s="110">
        <f t="shared" si="21"/>
        <v>36.930187141312921</v>
      </c>
      <c r="Z76" s="111">
        <f t="shared" si="22"/>
        <v>-85.865873537647943</v>
      </c>
      <c r="AA76" s="72">
        <f t="shared" si="23"/>
        <v>94.134126462352057</v>
      </c>
      <c r="AB76" s="110">
        <f t="shared" ca="1" si="24"/>
        <v>0.8613793717894549</v>
      </c>
      <c r="AC76" s="111">
        <f t="shared" ca="1" si="25"/>
        <v>-65.433204413493272</v>
      </c>
      <c r="AD76" s="72">
        <f t="shared" ca="1" si="26"/>
        <v>114.56679558650673</v>
      </c>
    </row>
    <row r="77" spans="1:30">
      <c r="A77" s="115">
        <v>331.13</v>
      </c>
      <c r="B77" s="101">
        <f t="shared" ca="1" si="0"/>
        <v>17.010016769239147</v>
      </c>
      <c r="C77" s="102">
        <f t="shared" ca="1" si="1"/>
        <v>1.5119735205893015</v>
      </c>
      <c r="D77" s="102">
        <f t="shared" si="2"/>
        <v>1.0925347505115666</v>
      </c>
      <c r="E77" s="103">
        <f t="shared" si="3"/>
        <v>0.4145375108040632</v>
      </c>
      <c r="F77" s="101">
        <f t="shared" si="4"/>
        <v>24.986632499659525</v>
      </c>
      <c r="G77" s="104">
        <f t="shared" si="5"/>
        <v>1.530764235848773</v>
      </c>
      <c r="H77" s="113">
        <f t="shared" si="6"/>
        <v>1.0004868594555549</v>
      </c>
      <c r="I77" s="114">
        <f t="shared" si="7"/>
        <v>3.1198141316709369E-2</v>
      </c>
      <c r="J77" s="101">
        <f t="shared" si="8"/>
        <v>1.000000021643465</v>
      </c>
      <c r="K77" s="104">
        <f t="shared" si="9"/>
        <v>2.0805511183687761E-4</v>
      </c>
      <c r="L77" s="102">
        <f t="shared" si="10"/>
        <v>1</v>
      </c>
      <c r="M77" s="103">
        <f t="shared" si="11"/>
        <v>1.0922893529042251E-11</v>
      </c>
      <c r="N77" s="101">
        <f t="shared" si="12"/>
        <v>1</v>
      </c>
      <c r="O77" s="104">
        <f t="shared" si="13"/>
        <v>1.74766296464676E-12</v>
      </c>
      <c r="P77" s="105">
        <f t="shared" ca="1" si="14"/>
        <v>1.0001701899820141</v>
      </c>
      <c r="Q77" s="106">
        <f t="shared" ca="1" si="15"/>
        <v>1.9033093923136117E-2</v>
      </c>
      <c r="R77" s="107">
        <f t="shared" ca="1" si="16"/>
        <v>20.399354861701138</v>
      </c>
      <c r="S77" s="108">
        <f t="shared" ca="1" si="17"/>
        <v>-149.89969676742081</v>
      </c>
      <c r="T77" s="116">
        <f t="shared" ca="1" si="18"/>
        <v>30.100303232579193</v>
      </c>
      <c r="V77" s="72">
        <f t="shared" ca="1" si="19"/>
        <v>1000000000</v>
      </c>
      <c r="W77" s="72">
        <f t="shared" si="20"/>
        <v>109647.0769</v>
      </c>
      <c r="Y77" s="110">
        <f t="shared" si="21"/>
        <v>36.132472657518043</v>
      </c>
      <c r="Z77" s="111">
        <f t="shared" si="22"/>
        <v>-85.930729095081915</v>
      </c>
      <c r="AA77" s="72">
        <f t="shared" si="23"/>
        <v>94.069270904918085</v>
      </c>
      <c r="AB77" s="110">
        <f t="shared" ca="1" si="24"/>
        <v>0.18448255106460248</v>
      </c>
      <c r="AC77" s="111">
        <f t="shared" ca="1" si="25"/>
        <v>-63.968967672338849</v>
      </c>
      <c r="AD77" s="72">
        <f t="shared" ca="1" si="26"/>
        <v>116.03103232766115</v>
      </c>
    </row>
    <row r="78" spans="1:30">
      <c r="A78" s="115">
        <v>363.08</v>
      </c>
      <c r="B78" s="101">
        <f t="shared" ref="B78:B141" ca="1" si="27">SQRT(1+(A78/Pole1)^2)</f>
        <v>18.645851977050668</v>
      </c>
      <c r="C78" s="102">
        <f t="shared" ref="C78:C141" ca="1" si="28">ATAN(A78/Pole1)</f>
        <v>1.517139352170696</v>
      </c>
      <c r="D78" s="102">
        <f t="shared" ref="D78:D141" si="29">SQRT(1+(A78/Zero1)^2)</f>
        <v>1.1103157911567934</v>
      </c>
      <c r="E78" s="103">
        <f t="shared" ref="E78:E141" si="30">ATAN(A78/Zero1)</f>
        <v>0.44954557034273562</v>
      </c>
      <c r="F78" s="101">
        <f t="shared" ref="F78:F141" si="31">SQRT(1+(A78/Pole2)^2)</f>
        <v>27.393845384433821</v>
      </c>
      <c r="G78" s="104">
        <f t="shared" ref="G78:G141" si="32">ATAN(A78/Pole2)</f>
        <v>1.5342836643234077</v>
      </c>
      <c r="H78" s="113">
        <f t="shared" ref="H78:H141" si="33">SQRT(1+(A78/Zero2)^2)</f>
        <v>1.0005853152381503</v>
      </c>
      <c r="I78" s="114">
        <f t="shared" ref="I78:I141" si="34">ATAN(A78/Zero2)</f>
        <v>3.420613645922347E-2</v>
      </c>
      <c r="J78" s="101">
        <f t="shared" ref="J78:J141" si="35">SQRT(1+(A78/pole4)^2)</f>
        <v>1.0000000260216233</v>
      </c>
      <c r="K78" s="104">
        <f t="shared" ref="K78:K141" si="36">ATAN(A78/pole4)</f>
        <v>2.2812988791485995E-4</v>
      </c>
      <c r="L78" s="102">
        <f t="shared" ref="L78:L141" si="37">SQRT(1+(A78/Zerofeed)^2)</f>
        <v>1</v>
      </c>
      <c r="M78" s="103">
        <f t="shared" ref="M78:M141" si="38">ATAN(A78/Zerofeed)</f>
        <v>1.1976819323301E-11</v>
      </c>
      <c r="N78" s="101">
        <f t="shared" ref="N78:N141" si="39">SQRT(1+(A78/Polefeed)^2)</f>
        <v>1</v>
      </c>
      <c r="O78" s="104">
        <f t="shared" ref="O78:O141" si="40">ATAN(A78/Polefeed)</f>
        <v>1.9162910917281599E-12</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18.943680511203972</v>
      </c>
      <c r="S78" s="108">
        <f t="shared" ref="S78:S141" ca="1" si="44">((E78+I78+M78)-(C78+G78+Q78+K78+O78))*radconv</f>
        <v>-148.32551113871756</v>
      </c>
      <c r="T78" s="116">
        <f t="shared" ref="T78:T141" ca="1" si="45">IF(S78&gt;0,S78,S78+180)</f>
        <v>31.674488861282441</v>
      </c>
      <c r="V78" s="72">
        <f t="shared" ref="V78:V141" ca="1" si="46">IF(R78&lt;0,A78,1000000000)</f>
        <v>1000000000</v>
      </c>
      <c r="W78" s="72">
        <f t="shared" ref="W78:W141" si="47">A78^2</f>
        <v>131827.0864</v>
      </c>
      <c r="Y78" s="110">
        <f t="shared" ref="Y78:Y141" si="48">20*LOG10(((H78*L78)/(F78*J78*N78))*Aea)</f>
        <v>35.334421919389058</v>
      </c>
      <c r="Z78" s="111">
        <f t="shared" ref="Z78:Z141" si="49">(I78+M78-(G78+K78+O78))*radconv</f>
        <v>-85.961182266442748</v>
      </c>
      <c r="AA78" s="72">
        <f t="shared" ref="AA78:AA141" si="50">IF(Z78&gt;0,Z78,Z78+180)</f>
        <v>94.038817733557252</v>
      </c>
      <c r="AB78" s="110">
        <f t="shared" ref="AB78:AB141" ca="1" si="51">20*LOG10((D78/(B78*P78))*Acs*Am)</f>
        <v>-0.47314106130358419</v>
      </c>
      <c r="AC78" s="111">
        <f t="shared" ref="AC78:AC141" ca="1" si="52">(E78-(C78+Q78))*radconv</f>
        <v>-62.364328872274811</v>
      </c>
      <c r="AD78" s="72">
        <f t="shared" ref="AD78:AD141" ca="1" si="53">IF(AC78&gt;0,AC78,AC78+180)</f>
        <v>117.63567112772519</v>
      </c>
    </row>
    <row r="79" spans="1:30">
      <c r="A79" s="115">
        <v>398.11</v>
      </c>
      <c r="B79" s="101">
        <f t="shared" ca="1" si="27"/>
        <v>20.439858613597337</v>
      </c>
      <c r="C79" s="102">
        <f t="shared" ca="1" si="28"/>
        <v>1.5218527711768948</v>
      </c>
      <c r="D79" s="102">
        <f t="shared" si="29"/>
        <v>1.1313220274137477</v>
      </c>
      <c r="E79" s="103">
        <f t="shared" si="30"/>
        <v>0.48661339303249385</v>
      </c>
      <c r="F79" s="101">
        <f t="shared" si="31"/>
        <v>30.033439523976057</v>
      </c>
      <c r="G79" s="104">
        <f t="shared" si="32"/>
        <v>1.5374939518043764</v>
      </c>
      <c r="H79" s="113">
        <f t="shared" si="33"/>
        <v>1.0007036645293965</v>
      </c>
      <c r="I79" s="114">
        <f t="shared" si="34"/>
        <v>3.750339070533338E-2</v>
      </c>
      <c r="J79" s="101">
        <f t="shared" si="35"/>
        <v>1.0000000312849817</v>
      </c>
      <c r="K79" s="104">
        <f t="shared" si="36"/>
        <v>2.5013988476121885E-4</v>
      </c>
      <c r="L79" s="102">
        <f t="shared" si="37"/>
        <v>1</v>
      </c>
      <c r="M79" s="103">
        <f t="shared" si="38"/>
        <v>1.3132344223860752E-11</v>
      </c>
      <c r="N79" s="101">
        <f t="shared" si="39"/>
        <v>1</v>
      </c>
      <c r="O79" s="104">
        <f t="shared" si="40"/>
        <v>2.1011750758177203E-12</v>
      </c>
      <c r="P79" s="105">
        <f t="shared" ca="1" si="41"/>
        <v>1.0002459952473302</v>
      </c>
      <c r="Q79" s="106">
        <f t="shared" ca="1" si="42"/>
        <v>2.288193305478433E-2</v>
      </c>
      <c r="R79" s="107">
        <f t="shared" ca="1" si="43"/>
        <v>17.510188412230878</v>
      </c>
      <c r="S79" s="108">
        <f t="shared" ca="1" si="44"/>
        <v>-146.58334593154603</v>
      </c>
      <c r="T79" s="116">
        <f t="shared" ca="1" si="45"/>
        <v>33.416654068453965</v>
      </c>
      <c r="V79" s="72">
        <f t="shared" ca="1" si="46"/>
        <v>1000000000</v>
      </c>
      <c r="W79" s="72">
        <f t="shared" si="47"/>
        <v>158491.57210000002</v>
      </c>
      <c r="Y79" s="110">
        <f t="shared" si="48"/>
        <v>34.53640774810107</v>
      </c>
      <c r="Z79" s="111">
        <f t="shared" si="49"/>
        <v>-85.957460517708796</v>
      </c>
      <c r="AA79" s="72">
        <f t="shared" si="50"/>
        <v>94.042539482291204</v>
      </c>
      <c r="AB79" s="110">
        <f t="shared" ca="1" si="51"/>
        <v>-1.1086189889886895</v>
      </c>
      <c r="AC79" s="111">
        <f t="shared" ca="1" si="52"/>
        <v>-60.625885413837246</v>
      </c>
      <c r="AD79" s="72">
        <f t="shared" ca="1" si="53"/>
        <v>119.37411458616276</v>
      </c>
    </row>
    <row r="80" spans="1:30">
      <c r="A80" s="115">
        <v>436.52</v>
      </c>
      <c r="B80" s="101">
        <f t="shared" ca="1" si="27"/>
        <v>22.407400982276261</v>
      </c>
      <c r="C80" s="102">
        <f t="shared" ca="1" si="28"/>
        <v>1.526153387465172</v>
      </c>
      <c r="D80" s="102">
        <f t="shared" si="29"/>
        <v>1.1560721732107935</v>
      </c>
      <c r="E80" s="103">
        <f t="shared" si="30"/>
        <v>0.52565014386656617</v>
      </c>
      <c r="F80" s="101">
        <f t="shared" si="31"/>
        <v>32.928020704395891</v>
      </c>
      <c r="G80" s="104">
        <f t="shared" si="32"/>
        <v>1.5404223851525438</v>
      </c>
      <c r="H80" s="113">
        <f t="shared" si="33"/>
        <v>1.0008459348123881</v>
      </c>
      <c r="I80" s="114">
        <f t="shared" si="34"/>
        <v>4.1117852678794871E-2</v>
      </c>
      <c r="J80" s="101">
        <f t="shared" si="35"/>
        <v>1.0000000376130045</v>
      </c>
      <c r="K80" s="104">
        <f t="shared" si="36"/>
        <v>2.7427359783809729E-4</v>
      </c>
      <c r="L80" s="102">
        <f t="shared" si="37"/>
        <v>1</v>
      </c>
      <c r="M80" s="103">
        <f t="shared" si="38"/>
        <v>1.4399364247569002E-11</v>
      </c>
      <c r="N80" s="101">
        <f t="shared" si="39"/>
        <v>1</v>
      </c>
      <c r="O80" s="104">
        <f t="shared" si="40"/>
        <v>2.3038982796110401E-12</v>
      </c>
      <c r="P80" s="105">
        <f t="shared" ca="1" si="41"/>
        <v>1.0002957454552714</v>
      </c>
      <c r="Q80" s="106">
        <f t="shared" ca="1" si="42"/>
        <v>2.5088796751294766E-2</v>
      </c>
      <c r="R80" s="107">
        <f t="shared" ca="1" si="43"/>
        <v>16.101482171246094</v>
      </c>
      <c r="S80" s="108">
        <f t="shared" ca="1" si="44"/>
        <v>-144.68163221405888</v>
      </c>
      <c r="T80" s="116">
        <f t="shared" ca="1" si="45"/>
        <v>35.31836778594112</v>
      </c>
      <c r="V80" s="72">
        <f t="shared" ca="1" si="46"/>
        <v>1000000000</v>
      </c>
      <c r="W80" s="72">
        <f t="shared" si="47"/>
        <v>190549.71039999998</v>
      </c>
      <c r="Y80" s="110">
        <f t="shared" si="48"/>
        <v>33.738431393613205</v>
      </c>
      <c r="Z80" s="111">
        <f t="shared" si="49"/>
        <v>-85.919536732653256</v>
      </c>
      <c r="AA80" s="72">
        <f t="shared" si="50"/>
        <v>94.080463267346744</v>
      </c>
      <c r="AB80" s="110">
        <f t="shared" ca="1" si="51"/>
        <v>-1.7193488754856059</v>
      </c>
      <c r="AC80" s="111">
        <f t="shared" ca="1" si="52"/>
        <v>-58.762095481405609</v>
      </c>
      <c r="AD80" s="72">
        <f t="shared" ca="1" si="53"/>
        <v>121.23790451859439</v>
      </c>
    </row>
    <row r="81" spans="1:30">
      <c r="A81" s="115">
        <v>478.63</v>
      </c>
      <c r="B81" s="101">
        <f t="shared" ca="1" si="27"/>
        <v>24.564871167554355</v>
      </c>
      <c r="C81" s="102">
        <f t="shared" ca="1" si="28"/>
        <v>1.5300765364542073</v>
      </c>
      <c r="D81" s="102">
        <f t="shared" si="29"/>
        <v>1.1851403085652625</v>
      </c>
      <c r="E81" s="103">
        <f t="shared" si="30"/>
        <v>0.56650480232570133</v>
      </c>
      <c r="F81" s="101">
        <f t="shared" si="31"/>
        <v>36.101704180995732</v>
      </c>
      <c r="G81" s="104">
        <f t="shared" si="32"/>
        <v>1.543093260024857</v>
      </c>
      <c r="H81" s="113">
        <f t="shared" si="33"/>
        <v>1.001016930617288</v>
      </c>
      <c r="I81" s="114">
        <f t="shared" si="34"/>
        <v>4.5079254088127713E-2</v>
      </c>
      <c r="J81" s="101">
        <f t="shared" si="35"/>
        <v>1.0000000452198963</v>
      </c>
      <c r="K81" s="104">
        <f t="shared" si="36"/>
        <v>3.0073208894785072E-4</v>
      </c>
      <c r="L81" s="102">
        <f t="shared" si="37"/>
        <v>1</v>
      </c>
      <c r="M81" s="103">
        <f t="shared" si="38"/>
        <v>1.5788435145729752E-11</v>
      </c>
      <c r="N81" s="101">
        <f t="shared" si="39"/>
        <v>1</v>
      </c>
      <c r="O81" s="104">
        <f t="shared" si="40"/>
        <v>2.52614962331676E-12</v>
      </c>
      <c r="P81" s="105">
        <f t="shared" ca="1" si="41"/>
        <v>1.0003555467304337</v>
      </c>
      <c r="Q81" s="106">
        <f t="shared" ca="1" si="42"/>
        <v>2.7507989538492095E-2</v>
      </c>
      <c r="R81" s="107">
        <f t="shared" ca="1" si="43"/>
        <v>14.720441510001805</v>
      </c>
      <c r="S81" s="108">
        <f t="shared" ca="1" si="44"/>
        <v>-142.63179636045246</v>
      </c>
      <c r="T81" s="116">
        <f t="shared" ca="1" si="45"/>
        <v>37.368203639547545</v>
      </c>
      <c r="V81" s="72">
        <f t="shared" ca="1" si="46"/>
        <v>1000000000</v>
      </c>
      <c r="W81" s="72">
        <f t="shared" si="47"/>
        <v>229086.67689999999</v>
      </c>
      <c r="Y81" s="110">
        <f t="shared" si="48"/>
        <v>32.940673654026902</v>
      </c>
      <c r="Z81" s="111">
        <f t="shared" si="49"/>
        <v>-85.847110968455652</v>
      </c>
      <c r="AA81" s="72">
        <f t="shared" si="50"/>
        <v>94.152889031544348</v>
      </c>
      <c r="AB81" s="110">
        <f t="shared" ca="1" si="51"/>
        <v>-2.3026317971435968</v>
      </c>
      <c r="AC81" s="111">
        <f t="shared" ca="1" si="52"/>
        <v>-56.784685391996838</v>
      </c>
      <c r="AD81" s="72">
        <f t="shared" ca="1" si="53"/>
        <v>123.21531460800315</v>
      </c>
    </row>
    <row r="82" spans="1:30">
      <c r="A82" s="115">
        <v>524.80999999999995</v>
      </c>
      <c r="B82" s="101">
        <f t="shared" ca="1" si="27"/>
        <v>26.931226004373329</v>
      </c>
      <c r="C82" s="102">
        <f t="shared" ca="1" si="28"/>
        <v>1.5336561707777965</v>
      </c>
      <c r="D82" s="102">
        <f t="shared" si="29"/>
        <v>1.2191759719482467</v>
      </c>
      <c r="E82" s="103">
        <f t="shared" si="30"/>
        <v>0.60899009966311768</v>
      </c>
      <c r="F82" s="101">
        <f t="shared" si="31"/>
        <v>39.58237562833137</v>
      </c>
      <c r="G82" s="104">
        <f t="shared" si="32"/>
        <v>1.5455298694126032</v>
      </c>
      <c r="H82" s="113">
        <f t="shared" si="33"/>
        <v>1.0012225062239399</v>
      </c>
      <c r="I82" s="114">
        <f t="shared" si="34"/>
        <v>4.9421899745888551E-2</v>
      </c>
      <c r="J82" s="101">
        <f t="shared" si="35"/>
        <v>1.0000000543668199</v>
      </c>
      <c r="K82" s="104">
        <f t="shared" si="36"/>
        <v>3.2974783577773909E-4</v>
      </c>
      <c r="L82" s="102">
        <f t="shared" si="37"/>
        <v>1</v>
      </c>
      <c r="M82" s="103">
        <f t="shared" si="38"/>
        <v>1.731176200578825E-11</v>
      </c>
      <c r="N82" s="101">
        <f t="shared" si="39"/>
        <v>1</v>
      </c>
      <c r="O82" s="104">
        <f t="shared" si="40"/>
        <v>2.7698819209261199E-12</v>
      </c>
      <c r="P82" s="105">
        <f t="shared" ca="1" si="41"/>
        <v>1.0004274501900292</v>
      </c>
      <c r="Q82" s="106">
        <f t="shared" ca="1" si="42"/>
        <v>3.0160663711938783E-2</v>
      </c>
      <c r="R82" s="107">
        <f t="shared" ca="1" si="43"/>
        <v>13.369217521243357</v>
      </c>
      <c r="S82" s="108">
        <f t="shared" ca="1" si="44"/>
        <v>-140.44710774855616</v>
      </c>
      <c r="T82" s="116">
        <f t="shared" ca="1" si="45"/>
        <v>39.552892251443836</v>
      </c>
      <c r="V82" s="72">
        <f t="shared" ca="1" si="46"/>
        <v>1000000000</v>
      </c>
      <c r="W82" s="72">
        <f t="shared" si="47"/>
        <v>275425.53609999997</v>
      </c>
      <c r="Y82" s="110">
        <f t="shared" si="48"/>
        <v>32.142974132778576</v>
      </c>
      <c r="Z82" s="111">
        <f t="shared" si="49"/>
        <v>-85.739565614221519</v>
      </c>
      <c r="AA82" s="72">
        <f t="shared" si="50"/>
        <v>94.260434385778481</v>
      </c>
      <c r="AB82" s="110">
        <f t="shared" ca="1" si="51"/>
        <v>-2.8561562646537202</v>
      </c>
      <c r="AC82" s="111">
        <f t="shared" ca="1" si="52"/>
        <v>-54.707542134334673</v>
      </c>
      <c r="AD82" s="72">
        <f t="shared" ca="1" si="53"/>
        <v>125.29245786566533</v>
      </c>
    </row>
    <row r="83" spans="1:30">
      <c r="A83" s="115">
        <v>575.44000000000005</v>
      </c>
      <c r="B83" s="101">
        <f t="shared" ca="1" si="27"/>
        <v>29.525937612669207</v>
      </c>
      <c r="C83" s="102">
        <f t="shared" ca="1" si="28"/>
        <v>1.5369213219978748</v>
      </c>
      <c r="D83" s="102">
        <f t="shared" si="29"/>
        <v>1.2588740710240636</v>
      </c>
      <c r="E83" s="103">
        <f t="shared" si="30"/>
        <v>0.652842026751282</v>
      </c>
      <c r="F83" s="101">
        <f t="shared" si="31"/>
        <v>43.398676406739469</v>
      </c>
      <c r="G83" s="104">
        <f t="shared" si="32"/>
        <v>1.5477521099137355</v>
      </c>
      <c r="H83" s="113">
        <f t="shared" si="33"/>
        <v>1.0014695804119071</v>
      </c>
      <c r="I83" s="114">
        <f t="shared" si="34"/>
        <v>5.4180862743126834E-2</v>
      </c>
      <c r="J83" s="101">
        <f t="shared" si="35"/>
        <v>1.0000000653626755</v>
      </c>
      <c r="K83" s="104">
        <f t="shared" si="36"/>
        <v>3.6155959914819819E-4</v>
      </c>
      <c r="L83" s="102">
        <f t="shared" si="37"/>
        <v>1</v>
      </c>
      <c r="M83" s="103">
        <f t="shared" si="38"/>
        <v>1.8981879782418003E-11</v>
      </c>
      <c r="N83" s="101">
        <f t="shared" si="39"/>
        <v>1</v>
      </c>
      <c r="O83" s="104">
        <f t="shared" si="40"/>
        <v>3.0371007651868806E-12</v>
      </c>
      <c r="P83" s="105">
        <f t="shared" ca="1" si="41"/>
        <v>1.0005138811883167</v>
      </c>
      <c r="Q83" s="106">
        <f t="shared" ca="1" si="42"/>
        <v>3.3068510252061804E-2</v>
      </c>
      <c r="R83" s="107">
        <f t="shared" ca="1" si="43"/>
        <v>12.050484059831295</v>
      </c>
      <c r="S83" s="108">
        <f t="shared" ca="1" si="44"/>
        <v>-138.14474330573822</v>
      </c>
      <c r="T83" s="116">
        <f t="shared" ca="1" si="45"/>
        <v>41.855256694261783</v>
      </c>
      <c r="V83" s="72">
        <f t="shared" ca="1" si="46"/>
        <v>1000000000</v>
      </c>
      <c r="W83" s="72">
        <f t="shared" si="47"/>
        <v>331131.19360000006</v>
      </c>
      <c r="Y83" s="110">
        <f t="shared" si="48"/>
        <v>31.34562464058461</v>
      </c>
      <c r="Z83" s="111">
        <f t="shared" si="49"/>
        <v>-85.596044800934365</v>
      </c>
      <c r="AA83" s="72">
        <f t="shared" si="50"/>
        <v>94.403955199065635</v>
      </c>
      <c r="AB83" s="110">
        <f t="shared" ca="1" si="51"/>
        <v>-3.3775402338718106</v>
      </c>
      <c r="AC83" s="111">
        <f t="shared" ca="1" si="52"/>
        <v>-52.548698504803866</v>
      </c>
      <c r="AD83" s="72">
        <f t="shared" ca="1" si="53"/>
        <v>127.45130149519613</v>
      </c>
    </row>
    <row r="84" spans="1:30">
      <c r="A84" s="115">
        <v>630.96</v>
      </c>
      <c r="B84" s="101">
        <f t="shared" ca="1" si="27"/>
        <v>32.371555433807565</v>
      </c>
      <c r="C84" s="102">
        <f t="shared" ca="1" si="28"/>
        <v>1.5399000939596976</v>
      </c>
      <c r="D84" s="102">
        <f t="shared" si="29"/>
        <v>1.3050082897849802</v>
      </c>
      <c r="E84" s="103">
        <f t="shared" si="30"/>
        <v>0.69776724913399324</v>
      </c>
      <c r="F84" s="101">
        <f t="shared" si="31"/>
        <v>47.583772107130429</v>
      </c>
      <c r="G84" s="104">
        <f t="shared" si="32"/>
        <v>1.5497792115187417</v>
      </c>
      <c r="H84" s="113">
        <f t="shared" si="33"/>
        <v>1.0017665766097466</v>
      </c>
      <c r="I84" s="114">
        <f t="shared" si="34"/>
        <v>5.9396630601450819E-2</v>
      </c>
      <c r="J84" s="101">
        <f t="shared" si="35"/>
        <v>1.0000000785838639</v>
      </c>
      <c r="K84" s="104">
        <f t="shared" si="36"/>
        <v>3.9644383891940759E-4</v>
      </c>
      <c r="L84" s="102">
        <f t="shared" si="37"/>
        <v>1</v>
      </c>
      <c r="M84" s="103">
        <f t="shared" si="38"/>
        <v>2.0813302633662002E-11</v>
      </c>
      <c r="N84" s="101">
        <f t="shared" si="39"/>
        <v>1</v>
      </c>
      <c r="O84" s="104">
        <f t="shared" si="40"/>
        <v>3.3301284213859202E-12</v>
      </c>
      <c r="P84" s="105">
        <f t="shared" ca="1" si="41"/>
        <v>1.0006177941853662</v>
      </c>
      <c r="Q84" s="106">
        <f t="shared" ca="1" si="42"/>
        <v>3.6256619296957414E-2</v>
      </c>
      <c r="R84" s="107">
        <f t="shared" ca="1" si="43"/>
        <v>10.765931982338838</v>
      </c>
      <c r="S84" s="108">
        <f t="shared" ca="1" si="44"/>
        <v>-135.74335552225395</v>
      </c>
      <c r="T84" s="116">
        <f t="shared" ca="1" si="45"/>
        <v>44.25664447774605</v>
      </c>
      <c r="V84" s="72">
        <f t="shared" ca="1" si="46"/>
        <v>1000000000</v>
      </c>
      <c r="W84" s="72">
        <f t="shared" si="47"/>
        <v>398110.52160000004</v>
      </c>
      <c r="Y84" s="110">
        <f t="shared" si="48"/>
        <v>30.548552384904724</v>
      </c>
      <c r="Z84" s="111">
        <f t="shared" si="49"/>
        <v>-85.415346401759265</v>
      </c>
      <c r="AA84" s="72">
        <f t="shared" si="50"/>
        <v>94.584653598240735</v>
      </c>
      <c r="AB84" s="110">
        <f t="shared" ca="1" si="51"/>
        <v>-3.8650200556843828</v>
      </c>
      <c r="AC84" s="111">
        <f t="shared" ca="1" si="52"/>
        <v>-50.328009120494691</v>
      </c>
      <c r="AD84" s="72">
        <f t="shared" ca="1" si="53"/>
        <v>129.6719908795053</v>
      </c>
    </row>
    <row r="85" spans="1:30">
      <c r="A85" s="115">
        <v>691.83</v>
      </c>
      <c r="B85" s="101">
        <f t="shared" ca="1" si="27"/>
        <v>35.491656348600053</v>
      </c>
      <c r="C85" s="102">
        <f t="shared" ca="1" si="28"/>
        <v>1.5426169612407585</v>
      </c>
      <c r="D85" s="102">
        <f t="shared" si="29"/>
        <v>1.3583955534491736</v>
      </c>
      <c r="E85" s="103">
        <f t="shared" si="30"/>
        <v>0.74341347179942607</v>
      </c>
      <c r="F85" s="101">
        <f t="shared" si="31"/>
        <v>52.172337536297576</v>
      </c>
      <c r="G85" s="104">
        <f t="shared" si="32"/>
        <v>1.5516279075156374</v>
      </c>
      <c r="H85" s="113">
        <f t="shared" si="33"/>
        <v>1.0021234897737166</v>
      </c>
      <c r="I85" s="114">
        <f t="shared" si="34"/>
        <v>6.5111272391347147E-2</v>
      </c>
      <c r="J85" s="101">
        <f t="shared" si="35"/>
        <v>1.0000000944775234</v>
      </c>
      <c r="K85" s="104">
        <f t="shared" si="36"/>
        <v>4.3468958123097002E-4</v>
      </c>
      <c r="L85" s="102">
        <f t="shared" si="37"/>
        <v>1</v>
      </c>
      <c r="M85" s="103">
        <f t="shared" si="38"/>
        <v>2.2821204452019753E-11</v>
      </c>
      <c r="N85" s="101">
        <f t="shared" si="39"/>
        <v>1</v>
      </c>
      <c r="O85" s="104">
        <f t="shared" si="40"/>
        <v>3.6513927123231601E-12</v>
      </c>
      <c r="P85" s="105">
        <f t="shared" ca="1" si="41"/>
        <v>1.0007426974644922</v>
      </c>
      <c r="Q85" s="106">
        <f t="shared" ca="1" si="42"/>
        <v>3.9751167520213418E-2</v>
      </c>
      <c r="R85" s="107">
        <f t="shared" ca="1" si="43"/>
        <v>9.5173188180331536</v>
      </c>
      <c r="S85" s="108">
        <f t="shared" ca="1" si="44"/>
        <v>-133.26459644493423</v>
      </c>
      <c r="T85" s="116">
        <f t="shared" ca="1" si="45"/>
        <v>46.735403555065773</v>
      </c>
      <c r="V85" s="72">
        <f t="shared" ca="1" si="46"/>
        <v>1000000000</v>
      </c>
      <c r="W85" s="72">
        <f t="shared" si="47"/>
        <v>478628.74890000006</v>
      </c>
      <c r="Y85" s="110">
        <f t="shared" si="48"/>
        <v>29.752017767841625</v>
      </c>
      <c r="Z85" s="111">
        <f t="shared" si="49"/>
        <v>-85.196035343265535</v>
      </c>
      <c r="AA85" s="72">
        <f t="shared" si="50"/>
        <v>94.803964656734465</v>
      </c>
      <c r="AB85" s="110">
        <f t="shared" ca="1" si="51"/>
        <v>-4.3170986029269685</v>
      </c>
      <c r="AC85" s="111">
        <f t="shared" ca="1" si="52"/>
        <v>-48.068561101668678</v>
      </c>
      <c r="AD85" s="72">
        <f t="shared" ca="1" si="53"/>
        <v>131.93143889833132</v>
      </c>
    </row>
    <row r="86" spans="1:30">
      <c r="A86" s="115">
        <v>758.58</v>
      </c>
      <c r="B86" s="101">
        <f t="shared" ca="1" si="27"/>
        <v>38.913407390191026</v>
      </c>
      <c r="C86" s="102">
        <f t="shared" ca="1" si="28"/>
        <v>1.5450954137922313</v>
      </c>
      <c r="D86" s="102">
        <f t="shared" si="29"/>
        <v>1.4199329252427322</v>
      </c>
      <c r="E86" s="103">
        <f t="shared" si="30"/>
        <v>0.78941800526228678</v>
      </c>
      <c r="F86" s="101">
        <f t="shared" si="31"/>
        <v>57.204325724092193</v>
      </c>
      <c r="G86" s="104">
        <f t="shared" si="32"/>
        <v>1.5533142408445919</v>
      </c>
      <c r="H86" s="113">
        <f t="shared" si="33"/>
        <v>1.0025524728174675</v>
      </c>
      <c r="I86" s="114">
        <f t="shared" si="34"/>
        <v>7.137303905840621E-2</v>
      </c>
      <c r="J86" s="101">
        <f t="shared" si="35"/>
        <v>1.0000001135880103</v>
      </c>
      <c r="K86" s="104">
        <f t="shared" si="36"/>
        <v>4.7662983439444379E-4</v>
      </c>
      <c r="L86" s="102">
        <f t="shared" si="37"/>
        <v>1</v>
      </c>
      <c r="M86" s="103">
        <f t="shared" si="38"/>
        <v>2.5023068200588505E-11</v>
      </c>
      <c r="N86" s="101">
        <f t="shared" si="39"/>
        <v>1</v>
      </c>
      <c r="O86" s="104">
        <f t="shared" si="40"/>
        <v>4.0036909120941605E-12</v>
      </c>
      <c r="P86" s="105">
        <f t="shared" ca="1" si="41"/>
        <v>1.0008928602285296</v>
      </c>
      <c r="Q86" s="106">
        <f t="shared" ca="1" si="42"/>
        <v>4.3582268942836039E-2</v>
      </c>
      <c r="R86" s="107">
        <f t="shared" ca="1" si="43"/>
        <v>8.3053330259226268</v>
      </c>
      <c r="S86" s="108">
        <f t="shared" ca="1" si="44"/>
        <v>-130.73049162914916</v>
      </c>
      <c r="T86" s="116">
        <f t="shared" ca="1" si="45"/>
        <v>49.269508370850843</v>
      </c>
      <c r="V86" s="72">
        <f t="shared" ca="1" si="46"/>
        <v>1000000000</v>
      </c>
      <c r="W86" s="72">
        <f t="shared" si="47"/>
        <v>575443.61640000006</v>
      </c>
      <c r="Y86" s="110">
        <f t="shared" si="48"/>
        <v>28.955963499468535</v>
      </c>
      <c r="Z86" s="111">
        <f t="shared" si="49"/>
        <v>-84.936285322643883</v>
      </c>
      <c r="AA86" s="72">
        <f t="shared" si="50"/>
        <v>95.063714677356117</v>
      </c>
      <c r="AB86" s="110">
        <f t="shared" ca="1" si="51"/>
        <v>-4.7330301266644046</v>
      </c>
      <c r="AC86" s="111">
        <f t="shared" ca="1" si="52"/>
        <v>-45.794206306505224</v>
      </c>
      <c r="AD86" s="72">
        <f t="shared" ca="1" si="53"/>
        <v>134.20579369349477</v>
      </c>
    </row>
    <row r="87" spans="1:30">
      <c r="A87" s="115">
        <v>831.76</v>
      </c>
      <c r="B87" s="101">
        <f t="shared" ca="1" si="27"/>
        <v>42.665002800122899</v>
      </c>
      <c r="C87" s="102">
        <f t="shared" ca="1" si="28"/>
        <v>1.5473557662211017</v>
      </c>
      <c r="D87" s="102">
        <f t="shared" si="29"/>
        <v>1.4905481089199271</v>
      </c>
      <c r="E87" s="103">
        <f t="shared" si="30"/>
        <v>0.83538242186490008</v>
      </c>
      <c r="F87" s="101">
        <f t="shared" si="31"/>
        <v>62.721198754614861</v>
      </c>
      <c r="G87" s="104">
        <f t="shared" si="32"/>
        <v>1.5548520784234354</v>
      </c>
      <c r="H87" s="113">
        <f t="shared" si="33"/>
        <v>1.0030679101926001</v>
      </c>
      <c r="I87" s="114">
        <f t="shared" si="34"/>
        <v>7.8231544499618139E-2</v>
      </c>
      <c r="J87" s="101">
        <f t="shared" si="35"/>
        <v>1.0000001365607121</v>
      </c>
      <c r="K87" s="104">
        <f t="shared" si="36"/>
        <v>5.2261017293412195E-4</v>
      </c>
      <c r="L87" s="102">
        <f t="shared" si="37"/>
        <v>1</v>
      </c>
      <c r="M87" s="103">
        <f t="shared" si="38"/>
        <v>2.7437036576922003E-11</v>
      </c>
      <c r="N87" s="101">
        <f t="shared" si="39"/>
        <v>1</v>
      </c>
      <c r="O87" s="104">
        <f t="shared" si="40"/>
        <v>4.3899258523075202E-12</v>
      </c>
      <c r="P87" s="105">
        <f t="shared" ca="1" si="41"/>
        <v>1.0010733410879387</v>
      </c>
      <c r="Q87" s="106">
        <f t="shared" ca="1" si="42"/>
        <v>4.7781078156393229E-2</v>
      </c>
      <c r="R87" s="107">
        <f t="shared" ca="1" si="43"/>
        <v>7.1306346393461526</v>
      </c>
      <c r="S87" s="108">
        <f t="shared" ca="1" si="44"/>
        <v>-128.1647899149286</v>
      </c>
      <c r="T87" s="116">
        <f t="shared" ca="1" si="45"/>
        <v>51.835210085071395</v>
      </c>
      <c r="V87" s="72">
        <f t="shared" ca="1" si="46"/>
        <v>1000000000</v>
      </c>
      <c r="W87" s="72">
        <f t="shared" si="47"/>
        <v>691824.69759999996</v>
      </c>
      <c r="Y87" s="110">
        <f t="shared" si="48"/>
        <v>28.160718200032399</v>
      </c>
      <c r="Z87" s="111">
        <f t="shared" si="49"/>
        <v>-84.634067988816668</v>
      </c>
      <c r="AA87" s="72">
        <f t="shared" si="50"/>
        <v>95.365932011183332</v>
      </c>
      <c r="AB87" s="110">
        <f t="shared" ca="1" si="51"/>
        <v>-5.1124832138047402</v>
      </c>
      <c r="AC87" s="111">
        <f t="shared" ca="1" si="52"/>
        <v>-43.530721926111923</v>
      </c>
      <c r="AD87" s="72">
        <f t="shared" ca="1" si="53"/>
        <v>136.46927807388806</v>
      </c>
    </row>
    <row r="88" spans="1:30">
      <c r="A88" s="115">
        <v>912.01</v>
      </c>
      <c r="B88" s="101">
        <f t="shared" ca="1" si="27"/>
        <v>46.779252408637781</v>
      </c>
      <c r="C88" s="102">
        <f t="shared" ca="1" si="28"/>
        <v>1.549417700013811</v>
      </c>
      <c r="D88" s="102">
        <f t="shared" si="29"/>
        <v>1.5712598605940167</v>
      </c>
      <c r="E88" s="103">
        <f t="shared" si="30"/>
        <v>0.88093274459336823</v>
      </c>
      <c r="F88" s="101">
        <f t="shared" si="31"/>
        <v>68.771204774608762</v>
      </c>
      <c r="G88" s="104">
        <f t="shared" si="32"/>
        <v>1.5562548446935252</v>
      </c>
      <c r="H88" s="113">
        <f t="shared" si="33"/>
        <v>1.0036873257255525</v>
      </c>
      <c r="I88" s="114">
        <f t="shared" si="34"/>
        <v>8.5744165438075615E-2</v>
      </c>
      <c r="J88" s="101">
        <f t="shared" si="35"/>
        <v>1.0000001641832714</v>
      </c>
      <c r="K88" s="104">
        <f t="shared" si="36"/>
        <v>5.7303271982370922E-4</v>
      </c>
      <c r="L88" s="102">
        <f t="shared" si="37"/>
        <v>1</v>
      </c>
      <c r="M88" s="103">
        <f t="shared" si="38"/>
        <v>3.0084221083628252E-11</v>
      </c>
      <c r="N88" s="101">
        <f t="shared" si="39"/>
        <v>1</v>
      </c>
      <c r="O88" s="104">
        <f t="shared" si="40"/>
        <v>4.8134753733805205E-12</v>
      </c>
      <c r="P88" s="105">
        <f t="shared" ca="1" si="41"/>
        <v>1.0012903098206802</v>
      </c>
      <c r="Q88" s="106">
        <f t="shared" ca="1" si="42"/>
        <v>5.2383772707517082E-2</v>
      </c>
      <c r="R88" s="107">
        <f t="shared" ca="1" si="43"/>
        <v>5.9926788684365704</v>
      </c>
      <c r="S88" s="108">
        <f t="shared" ca="1" si="44"/>
        <v>-125.58962385337679</v>
      </c>
      <c r="T88" s="116">
        <f t="shared" ca="1" si="45"/>
        <v>54.410376146623207</v>
      </c>
      <c r="V88" s="72">
        <f t="shared" ca="1" si="46"/>
        <v>1000000000</v>
      </c>
      <c r="W88" s="72">
        <f t="shared" si="47"/>
        <v>831762.24009999994</v>
      </c>
      <c r="Y88" s="110">
        <f t="shared" si="48"/>
        <v>27.366234375095509</v>
      </c>
      <c r="Z88" s="111">
        <f t="shared" si="49"/>
        <v>-84.286888101485857</v>
      </c>
      <c r="AA88" s="72">
        <f t="shared" si="50"/>
        <v>95.713111898514143</v>
      </c>
      <c r="AB88" s="110">
        <f t="shared" ca="1" si="51"/>
        <v>-5.4559551597774369</v>
      </c>
      <c r="AC88" s="111">
        <f t="shared" ca="1" si="52"/>
        <v>-41.302735751890928</v>
      </c>
      <c r="AD88" s="72">
        <f t="shared" ca="1" si="53"/>
        <v>138.69726424810906</v>
      </c>
    </row>
    <row r="89" spans="1:30">
      <c r="A89" s="117">
        <v>1000</v>
      </c>
      <c r="B89" s="101">
        <f t="shared" ca="1" si="27"/>
        <v>51.290505767392347</v>
      </c>
      <c r="C89" s="102">
        <f t="shared" ca="1" si="28"/>
        <v>1.5512983056702114</v>
      </c>
      <c r="D89" s="102">
        <f t="shared" si="29"/>
        <v>1.66311708603054</v>
      </c>
      <c r="E89" s="103">
        <f t="shared" si="30"/>
        <v>0.92569353487820749</v>
      </c>
      <c r="F89" s="101">
        <f t="shared" si="31"/>
        <v>75.404854764369105</v>
      </c>
      <c r="G89" s="104">
        <f t="shared" si="32"/>
        <v>1.5575341924434534</v>
      </c>
      <c r="H89" s="113">
        <f t="shared" si="33"/>
        <v>1.0044315028615345</v>
      </c>
      <c r="I89" s="114">
        <f t="shared" si="34"/>
        <v>9.3970200894956807E-2</v>
      </c>
      <c r="J89" s="101">
        <f t="shared" si="35"/>
        <v>1.000000197392068</v>
      </c>
      <c r="K89" s="104">
        <f t="shared" si="36"/>
        <v>6.2831844731661528E-4</v>
      </c>
      <c r="L89" s="102">
        <f t="shared" si="37"/>
        <v>1</v>
      </c>
      <c r="M89" s="103">
        <f t="shared" si="38"/>
        <v>3.2986722825000005E-11</v>
      </c>
      <c r="N89" s="101">
        <f t="shared" si="39"/>
        <v>1</v>
      </c>
      <c r="O89" s="104">
        <f t="shared" si="40"/>
        <v>5.277875652E-12</v>
      </c>
      <c r="P89" s="105">
        <f t="shared" ca="1" si="41"/>
        <v>1.0015510951820534</v>
      </c>
      <c r="Q89" s="106">
        <f t="shared" ca="1" si="42"/>
        <v>5.7428064359564109E-2</v>
      </c>
      <c r="R89" s="107">
        <f t="shared" ca="1" si="43"/>
        <v>4.8908229349210428</v>
      </c>
      <c r="S89" s="108">
        <f t="shared" ca="1" si="44"/>
        <v>-123.02693862030171</v>
      </c>
      <c r="T89" s="116">
        <f t="shared" ca="1" si="45"/>
        <v>56.973061379698294</v>
      </c>
      <c r="V89" s="72">
        <f t="shared" ca="1" si="46"/>
        <v>1000000000</v>
      </c>
      <c r="W89" s="72">
        <f t="shared" si="47"/>
        <v>1000000</v>
      </c>
      <c r="Y89" s="110">
        <f t="shared" si="48"/>
        <v>26.572818290827115</v>
      </c>
      <c r="Z89" s="111">
        <f t="shared" si="49"/>
        <v>-83.892039852543817</v>
      </c>
      <c r="AA89" s="72">
        <f t="shared" si="50"/>
        <v>96.107960147456183</v>
      </c>
      <c r="AB89" s="110">
        <f t="shared" ca="1" si="51"/>
        <v>-5.7643950090245681</v>
      </c>
      <c r="AC89" s="111">
        <f t="shared" ca="1" si="52"/>
        <v>-39.134898767757889</v>
      </c>
      <c r="AD89" s="72">
        <f t="shared" ca="1" si="53"/>
        <v>140.86510123224213</v>
      </c>
    </row>
    <row r="90" spans="1:30">
      <c r="A90" s="118">
        <v>1096.5</v>
      </c>
      <c r="B90" s="101">
        <f t="shared" ca="1" si="27"/>
        <v>56.238240895577263</v>
      </c>
      <c r="C90" s="102">
        <f t="shared" ca="1" si="28"/>
        <v>1.5530138946188334</v>
      </c>
      <c r="D90" s="102">
        <f t="shared" si="29"/>
        <v>1.7672672315253337</v>
      </c>
      <c r="E90" s="103">
        <f t="shared" si="30"/>
        <v>0.96933812196989866</v>
      </c>
      <c r="F90" s="101">
        <f t="shared" si="31"/>
        <v>82.680199795669921</v>
      </c>
      <c r="G90" s="104">
        <f t="shared" si="32"/>
        <v>1.5587012377076561</v>
      </c>
      <c r="H90" s="113">
        <f t="shared" si="33"/>
        <v>1.0053256744071886</v>
      </c>
      <c r="I90" s="114">
        <f t="shared" si="34"/>
        <v>0.10297713971937025</v>
      </c>
      <c r="J90" s="101">
        <f t="shared" si="35"/>
        <v>1.0000002373268968</v>
      </c>
      <c r="K90" s="104">
        <f t="shared" si="36"/>
        <v>6.889511591405737E-4</v>
      </c>
      <c r="L90" s="102">
        <f t="shared" si="37"/>
        <v>1</v>
      </c>
      <c r="M90" s="103">
        <f t="shared" si="38"/>
        <v>3.6169941577612507E-11</v>
      </c>
      <c r="N90" s="101">
        <f t="shared" si="39"/>
        <v>1</v>
      </c>
      <c r="O90" s="104">
        <f t="shared" si="40"/>
        <v>5.7871906524180005E-12</v>
      </c>
      <c r="P90" s="105">
        <f t="shared" ca="1" si="41"/>
        <v>1.0018646098887676</v>
      </c>
      <c r="Q90" s="106">
        <f t="shared" ca="1" si="42"/>
        <v>6.2957152897474722E-2</v>
      </c>
      <c r="R90" s="107">
        <f t="shared" ca="1" si="43"/>
        <v>3.8234819231159554</v>
      </c>
      <c r="S90" s="108">
        <f t="shared" ca="1" si="44"/>
        <v>-120.49565860787889</v>
      </c>
      <c r="T90" s="116">
        <f t="shared" ca="1" si="45"/>
        <v>59.504341392121106</v>
      </c>
      <c r="V90" s="72">
        <f t="shared" ca="1" si="46"/>
        <v>1000000000</v>
      </c>
      <c r="W90" s="72">
        <f t="shared" si="47"/>
        <v>1202312.25</v>
      </c>
      <c r="Y90" s="110">
        <f t="shared" si="48"/>
        <v>25.780502720887096</v>
      </c>
      <c r="Z90" s="111">
        <f t="shared" si="49"/>
        <v>-83.446321037537388</v>
      </c>
      <c r="AA90" s="72">
        <f t="shared" si="50"/>
        <v>96.553678962462612</v>
      </c>
      <c r="AB90" s="110">
        <f t="shared" ca="1" si="51"/>
        <v>-6.0394204508896365</v>
      </c>
      <c r="AC90" s="111">
        <f t="shared" ca="1" si="52"/>
        <v>-37.0493375703415</v>
      </c>
      <c r="AD90" s="72">
        <f t="shared" ca="1" si="53"/>
        <v>142.95066242965851</v>
      </c>
    </row>
    <row r="91" spans="1:30">
      <c r="A91" s="118">
        <v>1202.3</v>
      </c>
      <c r="B91" s="101">
        <f t="shared" ca="1" si="27"/>
        <v>61.662962605743814</v>
      </c>
      <c r="C91" s="102">
        <f t="shared" ca="1" si="28"/>
        <v>1.5545784255490653</v>
      </c>
      <c r="D91" s="102">
        <f t="shared" si="29"/>
        <v>1.8848707087698138</v>
      </c>
      <c r="E91" s="103">
        <f t="shared" si="30"/>
        <v>1.0115584059409559</v>
      </c>
      <c r="F91" s="101">
        <f t="shared" si="31"/>
        <v>90.656799708153301</v>
      </c>
      <c r="G91" s="104">
        <f t="shared" si="32"/>
        <v>1.5597654909017558</v>
      </c>
      <c r="H91" s="113">
        <f t="shared" si="33"/>
        <v>1.0063995660066229</v>
      </c>
      <c r="I91" s="114">
        <f t="shared" si="34"/>
        <v>0.11283282009704548</v>
      </c>
      <c r="J91" s="101">
        <f t="shared" si="35"/>
        <v>1.0000002853352139</v>
      </c>
      <c r="K91" s="104">
        <f t="shared" si="36"/>
        <v>7.5542722491900879E-4</v>
      </c>
      <c r="L91" s="102">
        <f t="shared" si="37"/>
        <v>1</v>
      </c>
      <c r="M91" s="103">
        <f t="shared" si="38"/>
        <v>3.96599368524975E-11</v>
      </c>
      <c r="N91" s="101">
        <f t="shared" si="39"/>
        <v>1</v>
      </c>
      <c r="O91" s="104">
        <f t="shared" si="40"/>
        <v>6.3455898963996E-12</v>
      </c>
      <c r="P91" s="105">
        <f t="shared" ca="1" si="41"/>
        <v>1.0022413775382584</v>
      </c>
      <c r="Q91" s="106">
        <f t="shared" ca="1" si="42"/>
        <v>6.9015062051825352E-2</v>
      </c>
      <c r="R91" s="107">
        <f t="shared" ca="1" si="43"/>
        <v>2.7892452913210524</v>
      </c>
      <c r="S91" s="108">
        <f t="shared" ca="1" si="44"/>
        <v>-118.01344529441933</v>
      </c>
      <c r="T91" s="116">
        <f t="shared" ca="1" si="45"/>
        <v>61.986554705580673</v>
      </c>
      <c r="V91" s="72">
        <f t="shared" ca="1" si="46"/>
        <v>1000000000</v>
      </c>
      <c r="W91" s="72">
        <f t="shared" si="47"/>
        <v>1445525.2899999998</v>
      </c>
      <c r="Y91" s="110">
        <f t="shared" si="48"/>
        <v>24.989798313378419</v>
      </c>
      <c r="Z91" s="111">
        <f t="shared" si="49"/>
        <v>-82.946418161290467</v>
      </c>
      <c r="AA91" s="72">
        <f t="shared" si="50"/>
        <v>97.053581838709533</v>
      </c>
      <c r="AB91" s="110">
        <f t="shared" ca="1" si="51"/>
        <v>-6.28295267517586</v>
      </c>
      <c r="AC91" s="111">
        <f t="shared" ca="1" si="52"/>
        <v>-35.067027133128867</v>
      </c>
      <c r="AD91" s="72">
        <f t="shared" ca="1" si="53"/>
        <v>144.93297286687113</v>
      </c>
    </row>
    <row r="92" spans="1:30">
      <c r="A92" s="118">
        <v>1318.3</v>
      </c>
      <c r="B92" s="101">
        <f t="shared" ca="1" si="27"/>
        <v>67.610816896199168</v>
      </c>
      <c r="C92" s="102">
        <f t="shared" ca="1" si="28"/>
        <v>1.5560052547523657</v>
      </c>
      <c r="D92" s="102">
        <f t="shared" si="29"/>
        <v>2.017197429902835</v>
      </c>
      <c r="E92" s="103">
        <f t="shared" si="30"/>
        <v>1.0521127431261568</v>
      </c>
      <c r="F92" s="101">
        <f t="shared" si="31"/>
        <v>99.402508353307482</v>
      </c>
      <c r="G92" s="104">
        <f t="shared" si="32"/>
        <v>1.5607360487902036</v>
      </c>
      <c r="H92" s="113">
        <f t="shared" si="33"/>
        <v>1.0076890786185375</v>
      </c>
      <c r="I92" s="114">
        <f t="shared" si="34"/>
        <v>0.12361336060955169</v>
      </c>
      <c r="J92" s="101">
        <f t="shared" si="35"/>
        <v>1.0000003430505893</v>
      </c>
      <c r="K92" s="104">
        <f t="shared" si="36"/>
        <v>8.2831212866369287E-4</v>
      </c>
      <c r="L92" s="102">
        <f t="shared" si="37"/>
        <v>1</v>
      </c>
      <c r="M92" s="103">
        <f t="shared" si="38"/>
        <v>4.3486396700197503E-11</v>
      </c>
      <c r="N92" s="101">
        <f t="shared" si="39"/>
        <v>1</v>
      </c>
      <c r="O92" s="104">
        <f t="shared" si="40"/>
        <v>6.9578234720316001E-12</v>
      </c>
      <c r="P92" s="105">
        <f t="shared" ca="1" si="41"/>
        <v>1.002694139253177</v>
      </c>
      <c r="Q92" s="106">
        <f t="shared" ca="1" si="42"/>
        <v>7.5651694230922509E-2</v>
      </c>
      <c r="R92" s="107">
        <f t="shared" ca="1" si="43"/>
        <v>1.7860057356012691</v>
      </c>
      <c r="S92" s="108">
        <f t="shared" ca="1" si="44"/>
        <v>-115.59396063120575</v>
      </c>
      <c r="T92" s="116">
        <f t="shared" ca="1" si="45"/>
        <v>64.406039368794254</v>
      </c>
      <c r="V92" s="72">
        <f t="shared" ca="1" si="46"/>
        <v>1000000000</v>
      </c>
      <c r="W92" s="72">
        <f t="shared" si="47"/>
        <v>1737914.89</v>
      </c>
      <c r="Y92" s="110">
        <f t="shared" si="48"/>
        <v>24.200980833968828</v>
      </c>
      <c r="Z92" s="111">
        <f t="shared" si="49"/>
        <v>-82.388523556388378</v>
      </c>
      <c r="AA92" s="72">
        <f t="shared" si="50"/>
        <v>97.611476443611622</v>
      </c>
      <c r="AB92" s="110">
        <f t="shared" ca="1" si="51"/>
        <v>-6.49737475148605</v>
      </c>
      <c r="AC92" s="111">
        <f t="shared" ca="1" si="52"/>
        <v>-33.205437074817333</v>
      </c>
      <c r="AD92" s="72">
        <f t="shared" ca="1" si="53"/>
        <v>146.79456292518267</v>
      </c>
    </row>
    <row r="93" spans="1:30">
      <c r="A93" s="118">
        <v>1445.4</v>
      </c>
      <c r="B93" s="101">
        <f t="shared" ca="1" si="27"/>
        <v>74.127950770839192</v>
      </c>
      <c r="C93" s="102">
        <f t="shared" ca="1" si="28"/>
        <v>1.5573057294837931</v>
      </c>
      <c r="D93" s="102">
        <f t="shared" si="29"/>
        <v>2.165503891949657</v>
      </c>
      <c r="E93" s="103">
        <f t="shared" si="30"/>
        <v>1.0907883102141813</v>
      </c>
      <c r="F93" s="101">
        <f t="shared" si="31"/>
        <v>108.98518026772813</v>
      </c>
      <c r="G93" s="104">
        <f t="shared" si="32"/>
        <v>1.5616206385968294</v>
      </c>
      <c r="H93" s="113">
        <f t="shared" si="33"/>
        <v>1.0092360736576245</v>
      </c>
      <c r="I93" s="114">
        <f t="shared" si="34"/>
        <v>0.13539233298166534</v>
      </c>
      <c r="J93" s="101">
        <f t="shared" si="35"/>
        <v>1.0000004123877455</v>
      </c>
      <c r="K93" s="104">
        <f t="shared" si="36"/>
        <v>9.0817135358284545E-4</v>
      </c>
      <c r="L93" s="102">
        <f t="shared" si="37"/>
        <v>1</v>
      </c>
      <c r="M93" s="103">
        <f t="shared" si="38"/>
        <v>4.7679009171255009E-11</v>
      </c>
      <c r="N93" s="101">
        <f t="shared" si="39"/>
        <v>1</v>
      </c>
      <c r="O93" s="104">
        <f t="shared" si="40"/>
        <v>7.6286414674008005E-12</v>
      </c>
      <c r="P93" s="105">
        <f t="shared" ca="1" si="41"/>
        <v>1.003237801705827</v>
      </c>
      <c r="Q93" s="106">
        <f t="shared" ca="1" si="42"/>
        <v>8.2916404497610521E-2</v>
      </c>
      <c r="R93" s="107">
        <f t="shared" ca="1" si="43"/>
        <v>0.81211413953173561</v>
      </c>
      <c r="S93" s="108">
        <f t="shared" ca="1" si="44"/>
        <v>-113.24913627018618</v>
      </c>
      <c r="T93" s="116">
        <f t="shared" ca="1" si="45"/>
        <v>66.750863729813815</v>
      </c>
      <c r="V93" s="72">
        <f t="shared" ca="1" si="46"/>
        <v>1000000000</v>
      </c>
      <c r="W93" s="72">
        <f t="shared" si="47"/>
        <v>2089181.1600000001</v>
      </c>
      <c r="Y93" s="110">
        <f t="shared" si="48"/>
        <v>23.414902440345418</v>
      </c>
      <c r="Z93" s="111">
        <f t="shared" si="49"/>
        <v>-81.768897010618275</v>
      </c>
      <c r="AA93" s="72">
        <f t="shared" si="50"/>
        <v>98.231102989381725</v>
      </c>
      <c r="AB93" s="110">
        <f t="shared" ca="1" si="51"/>
        <v>-6.6851879539321786</v>
      </c>
      <c r="AC93" s="111">
        <f t="shared" ca="1" si="52"/>
        <v>-31.480239259567913</v>
      </c>
      <c r="AD93" s="72">
        <f t="shared" ca="1" si="53"/>
        <v>148.51976074043208</v>
      </c>
    </row>
    <row r="94" spans="1:30">
      <c r="A94" s="118">
        <v>1584.9</v>
      </c>
      <c r="B94" s="101">
        <f t="shared" ca="1" si="27"/>
        <v>81.281022624574533</v>
      </c>
      <c r="C94" s="102">
        <f t="shared" ca="1" si="28"/>
        <v>1.5584930215865247</v>
      </c>
      <c r="D94" s="102">
        <f t="shared" si="29"/>
        <v>2.3315070566914189</v>
      </c>
      <c r="E94" s="103">
        <f t="shared" si="30"/>
        <v>1.1275136966937966</v>
      </c>
      <c r="F94" s="101">
        <f t="shared" si="31"/>
        <v>119.50282865826699</v>
      </c>
      <c r="G94" s="104">
        <f t="shared" si="32"/>
        <v>1.5624282263727236</v>
      </c>
      <c r="H94" s="113">
        <f t="shared" si="33"/>
        <v>1.0110946466402508</v>
      </c>
      <c r="I94" s="114">
        <f t="shared" si="34"/>
        <v>0.1482769874014187</v>
      </c>
      <c r="J94" s="101">
        <f t="shared" si="35"/>
        <v>1.000000495830643</v>
      </c>
      <c r="K94" s="104">
        <f t="shared" si="36"/>
        <v>9.9582170902439327E-4</v>
      </c>
      <c r="L94" s="102">
        <f t="shared" si="37"/>
        <v>1</v>
      </c>
      <c r="M94" s="103">
        <f t="shared" si="38"/>
        <v>5.2280657005342511E-11</v>
      </c>
      <c r="N94" s="101">
        <f t="shared" si="39"/>
        <v>1</v>
      </c>
      <c r="O94" s="104">
        <f t="shared" si="40"/>
        <v>8.3649051208548002E-12</v>
      </c>
      <c r="P94" s="105">
        <f t="shared" ca="1" si="41"/>
        <v>1.0038916765229102</v>
      </c>
      <c r="Q94" s="106">
        <f t="shared" ca="1" si="42"/>
        <v>9.0880676451374112E-2</v>
      </c>
      <c r="R94" s="107">
        <f t="shared" ca="1" si="43"/>
        <v>-0.13636772853650925</v>
      </c>
      <c r="S94" s="108">
        <f t="shared" ca="1" si="44"/>
        <v>-110.98232966533482</v>
      </c>
      <c r="T94" s="116">
        <f t="shared" ca="1" si="45"/>
        <v>69.017670334665183</v>
      </c>
      <c r="V94" s="72">
        <f t="shared" ca="1" si="46"/>
        <v>1584.9</v>
      </c>
      <c r="W94" s="72">
        <f t="shared" si="47"/>
        <v>2511908.0100000002</v>
      </c>
      <c r="Y94" s="110">
        <f t="shared" si="48"/>
        <v>22.630667860782452</v>
      </c>
      <c r="Z94" s="111">
        <f t="shared" si="49"/>
        <v>-81.081954057460123</v>
      </c>
      <c r="AA94" s="72">
        <f t="shared" si="50"/>
        <v>98.918045942539877</v>
      </c>
      <c r="AB94" s="110">
        <f t="shared" ca="1" si="51"/>
        <v>-6.8494352424374583</v>
      </c>
      <c r="AC94" s="111">
        <f t="shared" ca="1" si="52"/>
        <v>-29.900375607874679</v>
      </c>
      <c r="AD94" s="72">
        <f t="shared" ca="1" si="53"/>
        <v>150.09962439212532</v>
      </c>
    </row>
    <row r="95" spans="1:30">
      <c r="A95" s="118">
        <v>1737.8</v>
      </c>
      <c r="B95" s="101">
        <f t="shared" ca="1" si="27"/>
        <v>89.121309062381854</v>
      </c>
      <c r="C95" s="102">
        <f t="shared" ca="1" si="28"/>
        <v>1.5595754302934626</v>
      </c>
      <c r="D95" s="102">
        <f t="shared" si="29"/>
        <v>2.5165659434918832</v>
      </c>
      <c r="E95" s="103">
        <f t="shared" si="30"/>
        <v>1.1621506367199201</v>
      </c>
      <c r="F95" s="101">
        <f t="shared" si="31"/>
        <v>131.03084892294083</v>
      </c>
      <c r="G95" s="104">
        <f t="shared" si="32"/>
        <v>1.5631644621168785</v>
      </c>
      <c r="H95" s="113">
        <f t="shared" si="33"/>
        <v>1.0133238032656646</v>
      </c>
      <c r="I95" s="114">
        <f t="shared" si="34"/>
        <v>0.16234241296906859</v>
      </c>
      <c r="J95" s="101">
        <f t="shared" si="35"/>
        <v>1.0000005961138283</v>
      </c>
      <c r="K95" s="104">
        <f t="shared" si="36"/>
        <v>1.0918915075062575E-3</v>
      </c>
      <c r="L95" s="102">
        <f t="shared" si="37"/>
        <v>1</v>
      </c>
      <c r="M95" s="103">
        <f t="shared" si="38"/>
        <v>5.7324326925285007E-11</v>
      </c>
      <c r="N95" s="101">
        <f t="shared" si="39"/>
        <v>1</v>
      </c>
      <c r="O95" s="104">
        <f t="shared" si="40"/>
        <v>9.1718923080456006E-12</v>
      </c>
      <c r="P95" s="105">
        <f t="shared" ca="1" si="41"/>
        <v>1.0046769544866629</v>
      </c>
      <c r="Q95" s="106">
        <f t="shared" ca="1" si="42"/>
        <v>9.9597893046379338E-2</v>
      </c>
      <c r="R95" s="107">
        <f t="shared" ca="1" si="43"/>
        <v>-1.060355404869858</v>
      </c>
      <c r="S95" s="108">
        <f t="shared" ca="1" si="44"/>
        <v>-108.8010544272426</v>
      </c>
      <c r="T95" s="116">
        <f t="shared" ca="1" si="45"/>
        <v>71.198945572757395</v>
      </c>
      <c r="V95" s="72">
        <f t="shared" ca="1" si="46"/>
        <v>1737.8</v>
      </c>
      <c r="W95" s="72">
        <f t="shared" si="47"/>
        <v>3019948.84</v>
      </c>
      <c r="Y95" s="110">
        <f t="shared" si="48"/>
        <v>21.849888270034828</v>
      </c>
      <c r="Z95" s="111">
        <f t="shared" si="49"/>
        <v>-80.323752129127712</v>
      </c>
      <c r="AA95" s="72">
        <f t="shared" si="50"/>
        <v>99.676247870872288</v>
      </c>
      <c r="AB95" s="110">
        <f t="shared" ca="1" si="51"/>
        <v>-6.9926433280231812</v>
      </c>
      <c r="AC95" s="111">
        <f t="shared" ca="1" si="52"/>
        <v>-28.477302298114914</v>
      </c>
      <c r="AD95" s="72">
        <f t="shared" ca="1" si="53"/>
        <v>151.52269770188508</v>
      </c>
    </row>
    <row r="96" spans="1:30">
      <c r="A96" s="118">
        <v>1905.5</v>
      </c>
      <c r="B96" s="101">
        <f t="shared" ca="1" si="27"/>
        <v>97.720598174070005</v>
      </c>
      <c r="C96" s="102">
        <f t="shared" ca="1" si="28"/>
        <v>1.5605628911347968</v>
      </c>
      <c r="D96" s="102">
        <f t="shared" si="29"/>
        <v>2.7225120618179277</v>
      </c>
      <c r="E96" s="103">
        <f t="shared" si="30"/>
        <v>1.1946834623731462</v>
      </c>
      <c r="F96" s="101">
        <f t="shared" si="31"/>
        <v>143.67479519347069</v>
      </c>
      <c r="G96" s="104">
        <f t="shared" si="32"/>
        <v>1.5638361075524909</v>
      </c>
      <c r="H96" s="113">
        <f t="shared" si="33"/>
        <v>1.0159981597346506</v>
      </c>
      <c r="I96" s="114">
        <f t="shared" si="34"/>
        <v>0.17769494755500304</v>
      </c>
      <c r="J96" s="101">
        <f t="shared" si="35"/>
        <v>1.0000007167166449</v>
      </c>
      <c r="K96" s="104">
        <f t="shared" si="36"/>
        <v>1.197260386850715E-3</v>
      </c>
      <c r="L96" s="102">
        <f t="shared" si="37"/>
        <v>1</v>
      </c>
      <c r="M96" s="103">
        <f t="shared" si="38"/>
        <v>6.2856200343037507E-11</v>
      </c>
      <c r="N96" s="101">
        <f t="shared" si="39"/>
        <v>1</v>
      </c>
      <c r="O96" s="104">
        <f t="shared" si="40"/>
        <v>1.0056992054886E-11</v>
      </c>
      <c r="P96" s="105">
        <f t="shared" ca="1" si="41"/>
        <v>1.0056205387734773</v>
      </c>
      <c r="Q96" s="106">
        <f t="shared" ca="1" si="42"/>
        <v>0.10914301356059022</v>
      </c>
      <c r="R96" s="107">
        <f t="shared" ca="1" si="43"/>
        <v>-1.9626186868209321</v>
      </c>
      <c r="S96" s="108">
        <f t="shared" ca="1" si="44"/>
        <v>-106.7054174823335</v>
      </c>
      <c r="T96" s="116">
        <f t="shared" ca="1" si="45"/>
        <v>73.294582517666498</v>
      </c>
      <c r="V96" s="72">
        <f t="shared" ca="1" si="46"/>
        <v>1905.5</v>
      </c>
      <c r="W96" s="72">
        <f t="shared" si="47"/>
        <v>3630930.25</v>
      </c>
      <c r="Y96" s="110">
        <f t="shared" si="48"/>
        <v>21.072640119620807</v>
      </c>
      <c r="Z96" s="111">
        <f t="shared" si="49"/>
        <v>-79.488636332172803</v>
      </c>
      <c r="AA96" s="72">
        <f t="shared" si="50"/>
        <v>100.5113636678272</v>
      </c>
      <c r="AB96" s="110">
        <f t="shared" ca="1" si="51"/>
        <v>-7.1176584595602392</v>
      </c>
      <c r="AC96" s="111">
        <f t="shared" ca="1" si="52"/>
        <v>-27.216781150160685</v>
      </c>
      <c r="AD96" s="72">
        <f t="shared" ca="1" si="53"/>
        <v>152.78321884983933</v>
      </c>
    </row>
    <row r="97" spans="1:30">
      <c r="A97" s="118">
        <v>2089.3000000000002</v>
      </c>
      <c r="B97" s="101">
        <f t="shared" ca="1" si="27"/>
        <v>107.14555109768044</v>
      </c>
      <c r="C97" s="102">
        <f t="shared" ca="1" si="28"/>
        <v>1.5614630926277975</v>
      </c>
      <c r="D97" s="102">
        <f t="shared" si="29"/>
        <v>2.9510534967616948</v>
      </c>
      <c r="E97" s="103">
        <f t="shared" si="30"/>
        <v>1.2250892159844819</v>
      </c>
      <c r="F97" s="101">
        <f t="shared" si="31"/>
        <v>157.53268254400979</v>
      </c>
      <c r="G97" s="104">
        <f t="shared" si="32"/>
        <v>1.5644483950519597</v>
      </c>
      <c r="H97" s="113">
        <f t="shared" si="33"/>
        <v>1.0192027721379158</v>
      </c>
      <c r="I97" s="114">
        <f t="shared" si="34"/>
        <v>0.19442446348354731</v>
      </c>
      <c r="J97" s="101">
        <f t="shared" si="35"/>
        <v>1.000000861650534</v>
      </c>
      <c r="K97" s="104">
        <f t="shared" si="36"/>
        <v>1.3127451506439816E-3</v>
      </c>
      <c r="L97" s="102">
        <f t="shared" si="37"/>
        <v>1</v>
      </c>
      <c r="M97" s="103">
        <f t="shared" si="38"/>
        <v>6.891915999827251E-11</v>
      </c>
      <c r="N97" s="101">
        <f t="shared" si="39"/>
        <v>1</v>
      </c>
      <c r="O97" s="104">
        <f t="shared" si="40"/>
        <v>1.1027065599723601E-11</v>
      </c>
      <c r="P97" s="105">
        <f t="shared" ca="1" si="41"/>
        <v>1.0067533219678284</v>
      </c>
      <c r="Q97" s="106">
        <f t="shared" ca="1" si="42"/>
        <v>0.11958366513740941</v>
      </c>
      <c r="R97" s="107">
        <f t="shared" ca="1" si="43"/>
        <v>-2.8444619378401677</v>
      </c>
      <c r="S97" s="108">
        <f t="shared" ca="1" si="44"/>
        <v>-104.69624676500949</v>
      </c>
      <c r="T97" s="116">
        <f t="shared" ca="1" si="45"/>
        <v>75.303753234990509</v>
      </c>
      <c r="V97" s="72">
        <f t="shared" ca="1" si="46"/>
        <v>2089.3000000000002</v>
      </c>
      <c r="W97" s="72">
        <f t="shared" si="47"/>
        <v>4365174.4900000012</v>
      </c>
      <c r="Y97" s="110">
        <f t="shared" si="48"/>
        <v>20.300190724604704</v>
      </c>
      <c r="Z97" s="111">
        <f t="shared" si="49"/>
        <v>-78.571803953962501</v>
      </c>
      <c r="AA97" s="72">
        <f t="shared" si="50"/>
        <v>101.4281960460375</v>
      </c>
      <c r="AB97" s="110">
        <f t="shared" ca="1" si="51"/>
        <v>-7.2270523155633644</v>
      </c>
      <c r="AC97" s="111">
        <f t="shared" ca="1" si="52"/>
        <v>-26.124442811046961</v>
      </c>
      <c r="AD97" s="72">
        <f t="shared" ca="1" si="53"/>
        <v>153.87555718895305</v>
      </c>
    </row>
    <row r="98" spans="1:30">
      <c r="A98" s="118">
        <v>2290.9</v>
      </c>
      <c r="B98" s="101">
        <f t="shared" ca="1" si="27"/>
        <v>117.48334094626964</v>
      </c>
      <c r="C98" s="102">
        <f t="shared" ca="1" si="28"/>
        <v>1.5622843789085812</v>
      </c>
      <c r="D98" s="102">
        <f t="shared" si="29"/>
        <v>3.2043943852172734</v>
      </c>
      <c r="E98" s="103">
        <f t="shared" si="30"/>
        <v>1.2534237344387387</v>
      </c>
      <c r="F98" s="101">
        <f t="shared" si="31"/>
        <v>172.73268511563333</v>
      </c>
      <c r="G98" s="104">
        <f t="shared" si="32"/>
        <v>1.565007002178082</v>
      </c>
      <c r="H98" s="113">
        <f t="shared" si="33"/>
        <v>1.0230435447929811</v>
      </c>
      <c r="I98" s="114">
        <f t="shared" si="34"/>
        <v>0.21264792932804918</v>
      </c>
      <c r="J98" s="101">
        <f t="shared" si="35"/>
        <v>1.0000010359571199</v>
      </c>
      <c r="K98" s="104">
        <f t="shared" si="36"/>
        <v>1.4394139262629642E-3</v>
      </c>
      <c r="L98" s="102">
        <f t="shared" si="37"/>
        <v>1</v>
      </c>
      <c r="M98" s="103">
        <f t="shared" si="38"/>
        <v>7.5569283319792507E-11</v>
      </c>
      <c r="N98" s="101">
        <f t="shared" si="39"/>
        <v>1</v>
      </c>
      <c r="O98" s="104">
        <f t="shared" si="40"/>
        <v>1.20910853311668E-11</v>
      </c>
      <c r="P98" s="105">
        <f t="shared" ca="1" si="41"/>
        <v>1.0081139994394068</v>
      </c>
      <c r="Q98" s="106">
        <f t="shared" ca="1" si="42"/>
        <v>0.13100807102386314</v>
      </c>
      <c r="R98" s="107">
        <f t="shared" ca="1" si="43"/>
        <v>-3.7082669057031707</v>
      </c>
      <c r="S98" s="108">
        <f t="shared" ca="1" si="44"/>
        <v>-102.76956065490354</v>
      </c>
      <c r="T98" s="116">
        <f t="shared" ca="1" si="45"/>
        <v>77.230439345096457</v>
      </c>
      <c r="V98" s="72">
        <f t="shared" ca="1" si="46"/>
        <v>2290.9</v>
      </c>
      <c r="W98" s="72">
        <f t="shared" si="47"/>
        <v>5248222.8100000005</v>
      </c>
      <c r="Y98" s="110">
        <f t="shared" si="48"/>
        <v>19.532782560019122</v>
      </c>
      <c r="Z98" s="111">
        <f t="shared" si="49"/>
        <v>-77.566939688475244</v>
      </c>
      <c r="AA98" s="72">
        <f t="shared" si="50"/>
        <v>102.43306031152476</v>
      </c>
      <c r="AB98" s="110">
        <f t="shared" ca="1" si="51"/>
        <v>-7.3234491188407898</v>
      </c>
      <c r="AC98" s="111">
        <f t="shared" ca="1" si="52"/>
        <v>-25.202620966428281</v>
      </c>
      <c r="AD98" s="72">
        <f t="shared" ca="1" si="53"/>
        <v>154.79737903357173</v>
      </c>
    </row>
    <row r="99" spans="1:30">
      <c r="A99" s="118">
        <v>2511.9</v>
      </c>
      <c r="B99" s="101">
        <f t="shared" ca="1" si="27"/>
        <v>128.81601368510022</v>
      </c>
      <c r="C99" s="102">
        <f t="shared" ca="1" si="28"/>
        <v>1.5630332388393029</v>
      </c>
      <c r="D99" s="102">
        <f t="shared" si="29"/>
        <v>3.4846183243228803</v>
      </c>
      <c r="E99" s="103">
        <f t="shared" si="30"/>
        <v>1.2797283173450738</v>
      </c>
      <c r="F99" s="101">
        <f t="shared" si="31"/>
        <v>189.39543785835235</v>
      </c>
      <c r="G99" s="104">
        <f t="shared" si="32"/>
        <v>1.5655163440366389</v>
      </c>
      <c r="H99" s="113">
        <f t="shared" si="33"/>
        <v>1.0276411337694364</v>
      </c>
      <c r="I99" s="114">
        <f t="shared" si="34"/>
        <v>0.23246120202043985</v>
      </c>
      <c r="J99" s="101">
        <f t="shared" si="35"/>
        <v>1.0000012454725538</v>
      </c>
      <c r="K99" s="104">
        <f t="shared" si="36"/>
        <v>1.5782720050440779E-3</v>
      </c>
      <c r="L99" s="102">
        <f t="shared" si="37"/>
        <v>1</v>
      </c>
      <c r="M99" s="103">
        <f t="shared" si="38"/>
        <v>8.2859349064117514E-11</v>
      </c>
      <c r="N99" s="101">
        <f t="shared" si="39"/>
        <v>1</v>
      </c>
      <c r="O99" s="104">
        <f t="shared" si="40"/>
        <v>1.3257495850258801E-11</v>
      </c>
      <c r="P99" s="105">
        <f t="shared" ca="1" si="41"/>
        <v>1.0097471093130406</v>
      </c>
      <c r="Q99" s="106">
        <f t="shared" ca="1" si="42"/>
        <v>0.14349597892580809</v>
      </c>
      <c r="R99" s="107">
        <f t="shared" ca="1" si="43"/>
        <v>-4.5549670280754864</v>
      </c>
      <c r="S99" s="108">
        <f t="shared" ca="1" si="44"/>
        <v>-100.92275221833808</v>
      </c>
      <c r="T99" s="116">
        <f t="shared" ca="1" si="45"/>
        <v>79.077247781661924</v>
      </c>
      <c r="V99" s="72">
        <f t="shared" ca="1" si="46"/>
        <v>2511.9</v>
      </c>
      <c r="W99" s="72">
        <f t="shared" si="47"/>
        <v>6309641.6100000003</v>
      </c>
      <c r="Y99" s="110">
        <f t="shared" si="48"/>
        <v>18.771828156356751</v>
      </c>
      <c r="Z99" s="111">
        <f t="shared" si="49"/>
        <v>-76.468861903943974</v>
      </c>
      <c r="AA99" s="72">
        <f t="shared" si="50"/>
        <v>103.53113809605603</v>
      </c>
      <c r="AB99" s="110">
        <f t="shared" ca="1" si="51"/>
        <v>-7.4091948375507313</v>
      </c>
      <c r="AC99" s="111">
        <f t="shared" ca="1" si="52"/>
        <v>-24.453890314394101</v>
      </c>
      <c r="AD99" s="72">
        <f t="shared" ca="1" si="53"/>
        <v>155.5461096856059</v>
      </c>
    </row>
    <row r="100" spans="1:30">
      <c r="A100" s="118">
        <v>2754.2</v>
      </c>
      <c r="B100" s="101">
        <f t="shared" ca="1" si="27"/>
        <v>141.24099950191595</v>
      </c>
      <c r="C100" s="102">
        <f t="shared" ca="1" si="28"/>
        <v>1.5637161704780744</v>
      </c>
      <c r="D100" s="102">
        <f t="shared" si="29"/>
        <v>3.7941910215458776</v>
      </c>
      <c r="E100" s="103">
        <f t="shared" si="30"/>
        <v>1.3040846662115879</v>
      </c>
      <c r="F100" s="101">
        <f t="shared" si="31"/>
        <v>207.66419518638801</v>
      </c>
      <c r="G100" s="104">
        <f t="shared" si="32"/>
        <v>1.5659808415643819</v>
      </c>
      <c r="H100" s="113">
        <f t="shared" si="33"/>
        <v>1.0331410071070968</v>
      </c>
      <c r="I100" s="114">
        <f t="shared" si="34"/>
        <v>0.2539720214503885</v>
      </c>
      <c r="J100" s="101">
        <f t="shared" si="35"/>
        <v>1.0000014973397804</v>
      </c>
      <c r="K100" s="104">
        <f t="shared" si="36"/>
        <v>1.7305131678819481E-3</v>
      </c>
      <c r="L100" s="102">
        <f t="shared" si="37"/>
        <v>1</v>
      </c>
      <c r="M100" s="103">
        <f t="shared" si="38"/>
        <v>9.0852032004615007E-11</v>
      </c>
      <c r="N100" s="101">
        <f t="shared" si="39"/>
        <v>1</v>
      </c>
      <c r="O100" s="104">
        <f t="shared" si="40"/>
        <v>1.4536325120738399E-11</v>
      </c>
      <c r="P100" s="105">
        <f t="shared" ca="1" si="41"/>
        <v>1.0117068645203111</v>
      </c>
      <c r="Q100" s="106">
        <f t="shared" ca="1" si="42"/>
        <v>0.15714050557854564</v>
      </c>
      <c r="R100" s="107">
        <f t="shared" ca="1" si="43"/>
        <v>-5.3858295883307576</v>
      </c>
      <c r="S100" s="108">
        <f t="shared" ca="1" si="44"/>
        <v>-99.150996469611187</v>
      </c>
      <c r="T100" s="116">
        <f t="shared" ca="1" si="45"/>
        <v>80.849003530388813</v>
      </c>
      <c r="V100" s="72">
        <f t="shared" ca="1" si="46"/>
        <v>2754.2</v>
      </c>
      <c r="W100" s="72">
        <f t="shared" si="47"/>
        <v>7585617.6399999987</v>
      </c>
      <c r="Y100" s="110">
        <f t="shared" si="48"/>
        <v>18.018346176975683</v>
      </c>
      <c r="Z100" s="111">
        <f t="shared" si="49"/>
        <v>-75.271719259020003</v>
      </c>
      <c r="AA100" s="72">
        <f t="shared" si="50"/>
        <v>104.72828074098</v>
      </c>
      <c r="AB100" s="110">
        <f t="shared" ca="1" si="51"/>
        <v>-7.4865754184249367</v>
      </c>
      <c r="AC100" s="111">
        <f t="shared" ca="1" si="52"/>
        <v>-23.87927721059118</v>
      </c>
      <c r="AD100" s="72">
        <f t="shared" ca="1" si="53"/>
        <v>156.12072278940883</v>
      </c>
    </row>
    <row r="101" spans="1:30">
      <c r="A101" s="118">
        <v>3020</v>
      </c>
      <c r="B101" s="101">
        <f t="shared" ca="1" si="27"/>
        <v>154.87111299752419</v>
      </c>
      <c r="C101" s="102">
        <f t="shared" ca="1" si="28"/>
        <v>1.5643392998545922</v>
      </c>
      <c r="D101" s="102">
        <f t="shared" si="29"/>
        <v>4.1359699434375461</v>
      </c>
      <c r="E101" s="103">
        <f t="shared" si="30"/>
        <v>1.3265951759047434</v>
      </c>
      <c r="F101" s="101">
        <f t="shared" si="31"/>
        <v>227.70483110775993</v>
      </c>
      <c r="G101" s="104">
        <f t="shared" si="32"/>
        <v>1.5664046623335186</v>
      </c>
      <c r="H101" s="113">
        <f t="shared" si="33"/>
        <v>1.0397178779825726</v>
      </c>
      <c r="I101" s="114">
        <f t="shared" si="34"/>
        <v>0.27729534124609118</v>
      </c>
      <c r="J101" s="101">
        <f t="shared" si="35"/>
        <v>1.000001800293175</v>
      </c>
      <c r="K101" s="104">
        <f t="shared" si="36"/>
        <v>1.8975196832056464E-3</v>
      </c>
      <c r="L101" s="102">
        <f t="shared" si="37"/>
        <v>1</v>
      </c>
      <c r="M101" s="103">
        <f t="shared" si="38"/>
        <v>9.9619902931500013E-11</v>
      </c>
      <c r="N101" s="101">
        <f t="shared" si="39"/>
        <v>1</v>
      </c>
      <c r="O101" s="104">
        <f t="shared" si="40"/>
        <v>1.5939184469039999E-11</v>
      </c>
      <c r="P101" s="105">
        <f t="shared" ca="1" si="41"/>
        <v>1.0140591207351008</v>
      </c>
      <c r="Q101" s="106">
        <f t="shared" ca="1" si="42"/>
        <v>0.17204690371108133</v>
      </c>
      <c r="R101" s="107">
        <f t="shared" ca="1" si="43"/>
        <v>-6.2021270943763529</v>
      </c>
      <c r="S101" s="108">
        <f t="shared" ca="1" si="44"/>
        <v>-97.448539772531888</v>
      </c>
      <c r="T101" s="116">
        <f t="shared" ca="1" si="45"/>
        <v>82.551460227468112</v>
      </c>
      <c r="V101" s="72">
        <f t="shared" ca="1" si="46"/>
        <v>3020</v>
      </c>
      <c r="W101" s="72">
        <f t="shared" si="47"/>
        <v>9120400</v>
      </c>
      <c r="Y101" s="110">
        <f t="shared" si="48"/>
        <v>17.273249352115325</v>
      </c>
      <c r="Z101" s="111">
        <f t="shared" si="49"/>
        <v>-73.969243378402794</v>
      </c>
      <c r="AA101" s="72">
        <f t="shared" si="50"/>
        <v>106.03075662159721</v>
      </c>
      <c r="AB101" s="110">
        <f t="shared" ca="1" si="51"/>
        <v>-7.5577760996101713</v>
      </c>
      <c r="AC101" s="111">
        <f t="shared" ca="1" si="52"/>
        <v>-23.479296394129083</v>
      </c>
      <c r="AD101" s="72">
        <f t="shared" ca="1" si="53"/>
        <v>156.52070360587092</v>
      </c>
    </row>
    <row r="102" spans="1:30">
      <c r="A102" s="118">
        <v>3311.3</v>
      </c>
      <c r="B102" s="101">
        <f t="shared" ca="1" si="27"/>
        <v>169.80891333784487</v>
      </c>
      <c r="C102" s="102">
        <f t="shared" ca="1" si="28"/>
        <v>1.5649073203791974</v>
      </c>
      <c r="D102" s="102">
        <f t="shared" si="29"/>
        <v>4.5125622552533375</v>
      </c>
      <c r="E102" s="103">
        <f t="shared" si="30"/>
        <v>1.347337684885429</v>
      </c>
      <c r="F102" s="101">
        <f t="shared" si="31"/>
        <v>249.66814047311718</v>
      </c>
      <c r="G102" s="104">
        <f t="shared" si="32"/>
        <v>1.566790999275395</v>
      </c>
      <c r="H102" s="113">
        <f t="shared" si="33"/>
        <v>1.0475665106922389</v>
      </c>
      <c r="I102" s="114">
        <f t="shared" si="34"/>
        <v>0.30250462427665725</v>
      </c>
      <c r="J102" s="101">
        <f t="shared" si="35"/>
        <v>1.0000021643441983</v>
      </c>
      <c r="K102" s="104">
        <f t="shared" si="36"/>
        <v>2.080548146374343E-3</v>
      </c>
      <c r="L102" s="102">
        <f t="shared" si="37"/>
        <v>1</v>
      </c>
      <c r="M102" s="103">
        <f t="shared" si="38"/>
        <v>1.0922893529042251E-10</v>
      </c>
      <c r="N102" s="101">
        <f t="shared" si="39"/>
        <v>1</v>
      </c>
      <c r="O102" s="104">
        <f t="shared" si="40"/>
        <v>1.7476629646467601E-11</v>
      </c>
      <c r="P102" s="105">
        <f t="shared" ca="1" si="41"/>
        <v>1.0168785980103532</v>
      </c>
      <c r="Q102" s="106">
        <f t="shared" ca="1" si="42"/>
        <v>0.18830313463052251</v>
      </c>
      <c r="R102" s="107">
        <f t="shared" ca="1" si="43"/>
        <v>-7.0036272477127461</v>
      </c>
      <c r="S102" s="108">
        <f t="shared" ca="1" si="44"/>
        <v>-95.812276862812624</v>
      </c>
      <c r="T102" s="116">
        <f t="shared" ca="1" si="45"/>
        <v>84.187723137187376</v>
      </c>
      <c r="V102" s="72">
        <f t="shared" ca="1" si="46"/>
        <v>3311.3</v>
      </c>
      <c r="W102" s="72">
        <f t="shared" si="47"/>
        <v>10964707.690000001</v>
      </c>
      <c r="Y102" s="110">
        <f t="shared" si="48"/>
        <v>16.538750443959124</v>
      </c>
      <c r="Z102" s="111">
        <f t="shared" si="49"/>
        <v>-72.557480088834794</v>
      </c>
      <c r="AA102" s="72">
        <f t="shared" si="50"/>
        <v>107.44251991116521</v>
      </c>
      <c r="AB102" s="110">
        <f t="shared" ca="1" si="51"/>
        <v>-7.6247773447903668</v>
      </c>
      <c r="AC102" s="111">
        <f t="shared" ca="1" si="52"/>
        <v>-23.254796773977787</v>
      </c>
      <c r="AD102" s="72">
        <f t="shared" ca="1" si="53"/>
        <v>156.74520322602223</v>
      </c>
    </row>
    <row r="103" spans="1:30">
      <c r="A103" s="118">
        <v>3630.8</v>
      </c>
      <c r="B103" s="101">
        <f t="shared" ca="1" si="27"/>
        <v>186.19285591828822</v>
      </c>
      <c r="C103" s="102">
        <f t="shared" ca="1" si="28"/>
        <v>1.5654255256292535</v>
      </c>
      <c r="D103" s="102">
        <f t="shared" si="29"/>
        <v>4.9274857289710772</v>
      </c>
      <c r="E103" s="103">
        <f t="shared" si="30"/>
        <v>1.3664335313911491</v>
      </c>
      <c r="F103" s="101">
        <f t="shared" si="31"/>
        <v>273.75769668563959</v>
      </c>
      <c r="G103" s="104">
        <f t="shared" si="32"/>
        <v>1.5671434533377318</v>
      </c>
      <c r="H103" s="113">
        <f t="shared" si="33"/>
        <v>1.0569282411889911</v>
      </c>
      <c r="I103" s="114">
        <f t="shared" si="34"/>
        <v>0.32970459480267666</v>
      </c>
      <c r="J103" s="101">
        <f t="shared" si="35"/>
        <v>1.0000026021589927</v>
      </c>
      <c r="K103" s="104">
        <f t="shared" si="36"/>
        <v>2.2812949611962108E-3</v>
      </c>
      <c r="L103" s="102">
        <f t="shared" si="37"/>
        <v>1</v>
      </c>
      <c r="M103" s="103">
        <f t="shared" si="38"/>
        <v>1.1976819323301001E-10</v>
      </c>
      <c r="N103" s="101">
        <f t="shared" si="39"/>
        <v>1</v>
      </c>
      <c r="O103" s="104">
        <f t="shared" si="40"/>
        <v>1.9162910917281601E-11</v>
      </c>
      <c r="P103" s="105">
        <f t="shared" ca="1" si="41"/>
        <v>1.0202590817808408</v>
      </c>
      <c r="Q103" s="106">
        <f t="shared" ca="1" si="42"/>
        <v>0.20602846746236636</v>
      </c>
      <c r="R103" s="107">
        <f t="shared" ca="1" si="43"/>
        <v>-7.7912518419462877</v>
      </c>
      <c r="S103" s="108">
        <f t="shared" ca="1" si="44"/>
        <v>-94.236695746439636</v>
      </c>
      <c r="T103" s="116">
        <f t="shared" ca="1" si="45"/>
        <v>85.763304253560364</v>
      </c>
      <c r="V103" s="72">
        <f t="shared" ca="1" si="46"/>
        <v>3630.8</v>
      </c>
      <c r="W103" s="72">
        <f t="shared" si="47"/>
        <v>13182708.640000001</v>
      </c>
      <c r="Y103" s="110">
        <f t="shared" si="48"/>
        <v>15.815960335914829</v>
      </c>
      <c r="Z103" s="111">
        <f t="shared" si="49"/>
        <v>-71.030732648045969</v>
      </c>
      <c r="AA103" s="72">
        <f t="shared" si="50"/>
        <v>108.96926735195403</v>
      </c>
      <c r="AB103" s="110">
        <f t="shared" ca="1" si="51"/>
        <v>-7.6896118309796089</v>
      </c>
      <c r="AC103" s="111">
        <f t="shared" ca="1" si="52"/>
        <v>-23.205963098393649</v>
      </c>
      <c r="AD103" s="72">
        <f t="shared" ca="1" si="53"/>
        <v>156.79403690160635</v>
      </c>
    </row>
    <row r="104" spans="1:30">
      <c r="A104" s="118">
        <v>3981.1</v>
      </c>
      <c r="B104" s="101">
        <f t="shared" ca="1" si="27"/>
        <v>204.15626861398331</v>
      </c>
      <c r="C104" s="102">
        <f t="shared" ca="1" si="28"/>
        <v>1.5658980985623103</v>
      </c>
      <c r="D104" s="102">
        <f t="shared" si="29"/>
        <v>5.3841390185576765</v>
      </c>
      <c r="E104" s="103">
        <f t="shared" si="30"/>
        <v>1.3839808606104751</v>
      </c>
      <c r="F104" s="101">
        <f t="shared" si="31"/>
        <v>300.16953370392656</v>
      </c>
      <c r="G104" s="104">
        <f t="shared" si="32"/>
        <v>1.5674648699430622</v>
      </c>
      <c r="H104" s="113">
        <f t="shared" si="33"/>
        <v>1.0680741642115967</v>
      </c>
      <c r="I104" s="114">
        <f t="shared" si="34"/>
        <v>0.35895462248118559</v>
      </c>
      <c r="J104" s="101">
        <f t="shared" si="35"/>
        <v>1.0000031284933342</v>
      </c>
      <c r="K104" s="104">
        <f t="shared" si="36"/>
        <v>2.5013936827212352E-3</v>
      </c>
      <c r="L104" s="102">
        <f t="shared" si="37"/>
        <v>1</v>
      </c>
      <c r="M104" s="103">
        <f t="shared" si="38"/>
        <v>1.3132344223860751E-10</v>
      </c>
      <c r="N104" s="101">
        <f t="shared" si="39"/>
        <v>1</v>
      </c>
      <c r="O104" s="104">
        <f t="shared" si="40"/>
        <v>2.1011750758177202E-11</v>
      </c>
      <c r="P104" s="105">
        <f t="shared" ca="1" si="41"/>
        <v>1.0243083459927793</v>
      </c>
      <c r="Q104" s="106">
        <f t="shared" ca="1" si="42"/>
        <v>0.22532644340136831</v>
      </c>
      <c r="R104" s="107">
        <f t="shared" ca="1" si="43"/>
        <v>-8.5647248776746014</v>
      </c>
      <c r="S104" s="108">
        <f t="shared" ca="1" si="44"/>
        <v>-92.719200253332701</v>
      </c>
      <c r="T104" s="116">
        <f t="shared" ca="1" si="45"/>
        <v>87.280799746667299</v>
      </c>
      <c r="V104" s="72">
        <f t="shared" ca="1" si="46"/>
        <v>3981.1</v>
      </c>
      <c r="W104" s="72">
        <f t="shared" si="47"/>
        <v>15849157.209999999</v>
      </c>
      <c r="Y104" s="110">
        <f t="shared" si="48"/>
        <v>15.107068467674271</v>
      </c>
      <c r="Z104" s="111">
        <f t="shared" si="49"/>
        <v>-69.385856051761351</v>
      </c>
      <c r="AA104" s="72">
        <f t="shared" si="50"/>
        <v>110.61414394823865</v>
      </c>
      <c r="AB104" s="110">
        <f t="shared" ca="1" si="51"/>
        <v>-7.7541929984673699</v>
      </c>
      <c r="AC104" s="111">
        <f t="shared" ca="1" si="52"/>
        <v>-23.333344201571329</v>
      </c>
      <c r="AD104" s="72">
        <f t="shared" ca="1" si="53"/>
        <v>156.66665579842868</v>
      </c>
    </row>
    <row r="105" spans="1:30">
      <c r="A105" s="118">
        <v>4365.2</v>
      </c>
      <c r="B105" s="101">
        <f t="shared" ca="1" si="27"/>
        <v>223.85299166652101</v>
      </c>
      <c r="C105" s="102">
        <f t="shared" ca="1" si="28"/>
        <v>1.5663290944448152</v>
      </c>
      <c r="D105" s="102">
        <f t="shared" si="29"/>
        <v>5.886449436394801</v>
      </c>
      <c r="E105" s="103">
        <f t="shared" si="30"/>
        <v>1.4000867102416041</v>
      </c>
      <c r="F105" s="101">
        <f t="shared" si="31"/>
        <v>329.12984481950656</v>
      </c>
      <c r="G105" s="104">
        <f t="shared" si="32"/>
        <v>1.5677580075591737</v>
      </c>
      <c r="H105" s="113">
        <f t="shared" si="33"/>
        <v>1.0813225804764741</v>
      </c>
      <c r="I105" s="114">
        <f t="shared" si="34"/>
        <v>0.39030406995064626</v>
      </c>
      <c r="J105" s="101">
        <f t="shared" si="35"/>
        <v>1.0000037612934385</v>
      </c>
      <c r="K105" s="104">
        <f t="shared" si="36"/>
        <v>2.7427291696840422E-3</v>
      </c>
      <c r="L105" s="102">
        <f t="shared" si="37"/>
        <v>1</v>
      </c>
      <c r="M105" s="103">
        <f t="shared" si="38"/>
        <v>1.4399364247569002E-10</v>
      </c>
      <c r="N105" s="101">
        <f t="shared" si="39"/>
        <v>1</v>
      </c>
      <c r="O105" s="104">
        <f t="shared" si="40"/>
        <v>2.3038982796110399E-11</v>
      </c>
      <c r="P105" s="105">
        <f t="shared" ca="1" si="41"/>
        <v>1.0291556890003368</v>
      </c>
      <c r="Q105" s="106">
        <f t="shared" ca="1" si="42"/>
        <v>0.24630989893144592</v>
      </c>
      <c r="R105" s="107">
        <f t="shared" ca="1" si="43"/>
        <v>-9.323934182722132</v>
      </c>
      <c r="S105" s="108">
        <f t="shared" ca="1" si="44"/>
        <v>-91.257792751248147</v>
      </c>
      <c r="T105" s="116">
        <f t="shared" ca="1" si="45"/>
        <v>88.742207248751853</v>
      </c>
      <c r="V105" s="72">
        <f t="shared" ca="1" si="46"/>
        <v>4365.2</v>
      </c>
      <c r="W105" s="72">
        <f t="shared" si="47"/>
        <v>19054971.039999999</v>
      </c>
      <c r="Y105" s="110">
        <f t="shared" si="48"/>
        <v>14.414127125582276</v>
      </c>
      <c r="Z105" s="111">
        <f t="shared" si="49"/>
        <v>-67.620288072136333</v>
      </c>
      <c r="AA105" s="72">
        <f t="shared" si="50"/>
        <v>112.37971192786367</v>
      </c>
      <c r="AB105" s="110">
        <f t="shared" ca="1" si="51"/>
        <v>-7.8204609614229037</v>
      </c>
      <c r="AC105" s="111">
        <f t="shared" ca="1" si="52"/>
        <v>-23.637504679111796</v>
      </c>
      <c r="AD105" s="72">
        <f t="shared" ca="1" si="53"/>
        <v>156.3624953208882</v>
      </c>
    </row>
    <row r="106" spans="1:30">
      <c r="A106" s="118">
        <v>4786.3</v>
      </c>
      <c r="B106" s="101">
        <f t="shared" ca="1" si="27"/>
        <v>245.44712169396959</v>
      </c>
      <c r="C106" s="102">
        <f t="shared" ca="1" si="28"/>
        <v>1.5667221182255191</v>
      </c>
      <c r="D106" s="102">
        <f t="shared" si="29"/>
        <v>6.4386143772256297</v>
      </c>
      <c r="E106" s="103">
        <f t="shared" si="30"/>
        <v>1.4148521174559208</v>
      </c>
      <c r="F106" s="101">
        <f t="shared" si="31"/>
        <v>360.87990312181762</v>
      </c>
      <c r="G106" s="104">
        <f t="shared" si="32"/>
        <v>1.5680253182929031</v>
      </c>
      <c r="H106" s="113">
        <f t="shared" si="33"/>
        <v>1.0970367077931551</v>
      </c>
      <c r="I106" s="114">
        <f t="shared" si="34"/>
        <v>0.42376677072248076</v>
      </c>
      <c r="J106" s="101">
        <f t="shared" si="35"/>
        <v>1.0000045219795146</v>
      </c>
      <c r="K106" s="104">
        <f t="shared" si="36"/>
        <v>3.0073119141384532E-3</v>
      </c>
      <c r="L106" s="102">
        <f t="shared" si="37"/>
        <v>1</v>
      </c>
      <c r="M106" s="103">
        <f t="shared" si="38"/>
        <v>1.5788435145729753E-10</v>
      </c>
      <c r="N106" s="101">
        <f t="shared" si="39"/>
        <v>1</v>
      </c>
      <c r="O106" s="104">
        <f t="shared" si="40"/>
        <v>2.5261496233167603E-11</v>
      </c>
      <c r="P106" s="105">
        <f t="shared" ca="1" si="41"/>
        <v>1.034952744343588</v>
      </c>
      <c r="Q106" s="106">
        <f t="shared" ca="1" si="42"/>
        <v>0.26908635603887776</v>
      </c>
      <c r="R106" s="107">
        <f t="shared" ca="1" si="43"/>
        <v>-10.068441387901142</v>
      </c>
      <c r="S106" s="108">
        <f t="shared" ca="1" si="44"/>
        <v>-89.852514427315853</v>
      </c>
      <c r="T106" s="116">
        <f t="shared" ca="1" si="45"/>
        <v>90.147485572684147</v>
      </c>
      <c r="V106" s="72">
        <f t="shared" ca="1" si="46"/>
        <v>4786.3</v>
      </c>
      <c r="W106" s="72">
        <f t="shared" si="47"/>
        <v>22908667.690000001</v>
      </c>
      <c r="Y106" s="110">
        <f t="shared" si="48"/>
        <v>13.739529619430845</v>
      </c>
      <c r="Z106" s="111">
        <f t="shared" si="49"/>
        <v>-65.733491795427014</v>
      </c>
      <c r="AA106" s="72">
        <f t="shared" si="50"/>
        <v>114.26650820457299</v>
      </c>
      <c r="AB106" s="110">
        <f t="shared" ca="1" si="51"/>
        <v>-7.8903706604504826</v>
      </c>
      <c r="AC106" s="111">
        <f t="shared" ca="1" si="52"/>
        <v>-24.11902263188885</v>
      </c>
      <c r="AD106" s="72">
        <f t="shared" ca="1" si="53"/>
        <v>155.88097736811116</v>
      </c>
    </row>
    <row r="107" spans="1:30">
      <c r="A107" s="118">
        <v>5248.1</v>
      </c>
      <c r="B107" s="101">
        <f t="shared" ca="1" si="27"/>
        <v>269.1283957702409</v>
      </c>
      <c r="C107" s="102">
        <f t="shared" ca="1" si="28"/>
        <v>1.5670806196573364</v>
      </c>
      <c r="D107" s="102">
        <f t="shared" si="29"/>
        <v>7.0454953734705699</v>
      </c>
      <c r="E107" s="103">
        <f t="shared" si="30"/>
        <v>1.4283807364784151</v>
      </c>
      <c r="F107" s="101">
        <f t="shared" si="31"/>
        <v>395.69868086491289</v>
      </c>
      <c r="G107" s="104">
        <f t="shared" si="32"/>
        <v>1.5682691486343496</v>
      </c>
      <c r="H107" s="113">
        <f t="shared" si="33"/>
        <v>1.1156391427942718</v>
      </c>
      <c r="I107" s="114">
        <f t="shared" si="34"/>
        <v>0.45933577693330607</v>
      </c>
      <c r="J107" s="101">
        <f t="shared" si="35"/>
        <v>1.0000054366673754</v>
      </c>
      <c r="K107" s="104">
        <f t="shared" si="36"/>
        <v>3.2974665258093776E-3</v>
      </c>
      <c r="L107" s="102">
        <f t="shared" si="37"/>
        <v>1</v>
      </c>
      <c r="M107" s="103">
        <f t="shared" si="38"/>
        <v>1.7311762005788252E-10</v>
      </c>
      <c r="N107" s="101">
        <f t="shared" si="39"/>
        <v>1</v>
      </c>
      <c r="O107" s="104">
        <f t="shared" si="40"/>
        <v>2.7698819209261203E-11</v>
      </c>
      <c r="P107" s="105">
        <f t="shared" ca="1" si="41"/>
        <v>1.041880904631485</v>
      </c>
      <c r="Q107" s="106">
        <f t="shared" ca="1" si="42"/>
        <v>0.29376989997434361</v>
      </c>
      <c r="R107" s="107">
        <f t="shared" ca="1" si="43"/>
        <v>-10.798036119286845</v>
      </c>
      <c r="S107" s="108">
        <f t="shared" ca="1" si="44"/>
        <v>-88.504826309116098</v>
      </c>
      <c r="T107" s="116">
        <f t="shared" ca="1" si="45"/>
        <v>91.495173690883902</v>
      </c>
      <c r="V107" s="72">
        <f t="shared" ca="1" si="46"/>
        <v>5248.1</v>
      </c>
      <c r="W107" s="72">
        <f t="shared" si="47"/>
        <v>27542553.610000003</v>
      </c>
      <c r="Y107" s="110">
        <f t="shared" si="48"/>
        <v>13.085535247908933</v>
      </c>
      <c r="Z107" s="111">
        <f t="shared" si="49"/>
        <v>-63.726132939182328</v>
      </c>
      <c r="AA107" s="72">
        <f t="shared" si="50"/>
        <v>116.27386706081768</v>
      </c>
      <c r="AB107" s="110">
        <f t="shared" ca="1" si="51"/>
        <v>-7.9659710203142726</v>
      </c>
      <c r="AC107" s="111">
        <f t="shared" ca="1" si="52"/>
        <v>-24.778693369933773</v>
      </c>
      <c r="AD107" s="72">
        <f t="shared" ca="1" si="53"/>
        <v>155.22130663006624</v>
      </c>
    </row>
    <row r="108" spans="1:30">
      <c r="A108" s="118">
        <v>5370.3</v>
      </c>
      <c r="B108" s="101">
        <f t="shared" ca="1" si="27"/>
        <v>275.39486193336387</v>
      </c>
      <c r="C108" s="102">
        <f t="shared" ca="1" si="28"/>
        <v>1.5671651690073687</v>
      </c>
      <c r="D108" s="102">
        <f t="shared" si="29"/>
        <v>7.2062790029754895</v>
      </c>
      <c r="E108" s="103">
        <f t="shared" si="30"/>
        <v>1.4315791865770928</v>
      </c>
      <c r="F108" s="101">
        <f t="shared" si="31"/>
        <v>404.91231503621356</v>
      </c>
      <c r="G108" s="104">
        <f t="shared" si="32"/>
        <v>1.5683266537832008</v>
      </c>
      <c r="H108" s="113">
        <f t="shared" si="33"/>
        <v>1.1207928157028968</v>
      </c>
      <c r="I108" s="114">
        <f t="shared" si="34"/>
        <v>0.46854662019224452</v>
      </c>
      <c r="J108" s="101">
        <f t="shared" si="35"/>
        <v>1.0000056927957011</v>
      </c>
      <c r="K108" s="104">
        <f t="shared" si="36"/>
        <v>3.3742461957319381E-3</v>
      </c>
      <c r="L108" s="102">
        <f t="shared" si="37"/>
        <v>1</v>
      </c>
      <c r="M108" s="103">
        <f t="shared" si="38"/>
        <v>1.7714859758709753E-10</v>
      </c>
      <c r="N108" s="101">
        <f t="shared" si="39"/>
        <v>1</v>
      </c>
      <c r="O108" s="104">
        <f t="shared" si="40"/>
        <v>2.8343775613935603E-11</v>
      </c>
      <c r="P108" s="105">
        <f t="shared" ca="1" si="41"/>
        <v>1.0438127055724353</v>
      </c>
      <c r="Q108" s="106">
        <f t="shared" ca="1" si="42"/>
        <v>0.30024750436217568</v>
      </c>
      <c r="R108" s="107">
        <f t="shared" ca="1" si="43"/>
        <v>-10.977959557575808</v>
      </c>
      <c r="S108" s="108">
        <f t="shared" ca="1" si="44"/>
        <v>-88.177503839480991</v>
      </c>
      <c r="T108" s="116">
        <f t="shared" ca="1" si="45"/>
        <v>91.822496160519009</v>
      </c>
      <c r="V108" s="72">
        <f t="shared" ca="1" si="46"/>
        <v>5370.3</v>
      </c>
      <c r="W108" s="72">
        <f t="shared" si="47"/>
        <v>28840122.090000004</v>
      </c>
      <c r="Y108" s="110">
        <f t="shared" si="48"/>
        <v>12.925637262584468</v>
      </c>
      <c r="Z108" s="111">
        <f t="shared" si="49"/>
        <v>-63.206084447268807</v>
      </c>
      <c r="AA108" s="72">
        <f t="shared" si="50"/>
        <v>116.79391555273119</v>
      </c>
      <c r="AB108" s="110">
        <f t="shared" ca="1" si="51"/>
        <v>-7.98599647327877</v>
      </c>
      <c r="AC108" s="111">
        <f t="shared" ca="1" si="52"/>
        <v>-24.971419392212187</v>
      </c>
      <c r="AD108" s="72">
        <f t="shared" ca="1" si="53"/>
        <v>155.0285806077878</v>
      </c>
    </row>
    <row r="109" spans="1:30">
      <c r="A109" s="118">
        <v>5432.85</v>
      </c>
      <c r="B109" s="101">
        <f t="shared" ca="1" si="27"/>
        <v>278.60245234600239</v>
      </c>
      <c r="C109" s="102">
        <f t="shared" ca="1" si="28"/>
        <v>1.567206975233834</v>
      </c>
      <c r="D109" s="102">
        <f t="shared" si="29"/>
        <v>7.2886062169482884</v>
      </c>
      <c r="E109" s="103">
        <f t="shared" si="30"/>
        <v>1.4331617538311203</v>
      </c>
      <c r="F109" s="101">
        <f t="shared" si="31"/>
        <v>409.62845970539308</v>
      </c>
      <c r="G109" s="104">
        <f t="shared" si="32"/>
        <v>1.5683550877413539</v>
      </c>
      <c r="H109" s="113">
        <f t="shared" si="33"/>
        <v>1.1234673413982526</v>
      </c>
      <c r="I109" s="114">
        <f t="shared" si="34"/>
        <v>0.47322843506411549</v>
      </c>
      <c r="J109" s="101">
        <f t="shared" si="35"/>
        <v>1.0000058261800764</v>
      </c>
      <c r="K109" s="104">
        <f t="shared" si="36"/>
        <v>3.4135470670864669E-3</v>
      </c>
      <c r="L109" s="102">
        <f t="shared" si="37"/>
        <v>1</v>
      </c>
      <c r="M109" s="103">
        <f t="shared" si="38"/>
        <v>1.7921191709980129E-10</v>
      </c>
      <c r="N109" s="101">
        <f t="shared" si="39"/>
        <v>1</v>
      </c>
      <c r="O109" s="104">
        <f t="shared" si="40"/>
        <v>2.8673906735968204E-11</v>
      </c>
      <c r="P109" s="105">
        <f t="shared" ca="1" si="41"/>
        <v>1.0448173249684112</v>
      </c>
      <c r="Q109" s="106">
        <f t="shared" ca="1" si="42"/>
        <v>0.30355415994589147</v>
      </c>
      <c r="R109" s="107">
        <f t="shared" ca="1" si="43"/>
        <v>-11.068110645696896</v>
      </c>
      <c r="S109" s="108">
        <f t="shared" ca="1" si="44"/>
        <v>-88.01431483156496</v>
      </c>
      <c r="T109" s="116">
        <f t="shared" ca="1" si="45"/>
        <v>91.98568516843504</v>
      </c>
      <c r="V109" s="72">
        <f t="shared" ca="1" si="46"/>
        <v>5432.85</v>
      </c>
      <c r="W109" s="72">
        <f t="shared" si="47"/>
        <v>29515859.122500002</v>
      </c>
      <c r="Y109" s="110">
        <f t="shared" si="48"/>
        <v>12.845755643470365</v>
      </c>
      <c r="Z109" s="111">
        <f t="shared" si="49"/>
        <v>-62.941717134104458</v>
      </c>
      <c r="AA109" s="72">
        <f t="shared" si="50"/>
        <v>117.05828286589553</v>
      </c>
      <c r="AB109" s="110">
        <f t="shared" ca="1" si="51"/>
        <v>-7.9962659422857554</v>
      </c>
      <c r="AC109" s="111">
        <f t="shared" ca="1" si="52"/>
        <v>-25.07259769746053</v>
      </c>
      <c r="AD109" s="72">
        <f t="shared" ca="1" si="53"/>
        <v>154.92740230253946</v>
      </c>
    </row>
    <row r="110" spans="1:30">
      <c r="A110" s="118">
        <v>5495.4</v>
      </c>
      <c r="B110" s="101">
        <f t="shared" ca="1" si="27"/>
        <v>281.81004323448667</v>
      </c>
      <c r="C110" s="102">
        <f t="shared" ca="1" si="28"/>
        <v>1.5672478297748329</v>
      </c>
      <c r="D110" s="102">
        <f t="shared" si="29"/>
        <v>7.37095127757512</v>
      </c>
      <c r="E110" s="103">
        <f t="shared" si="30"/>
        <v>1.4347089653827505</v>
      </c>
      <c r="F110" s="101">
        <f t="shared" si="31"/>
        <v>414.34460469821391</v>
      </c>
      <c r="G110" s="104">
        <f t="shared" si="32"/>
        <v>1.5683828744186528</v>
      </c>
      <c r="H110" s="113">
        <f t="shared" si="33"/>
        <v>1.1261663755320241</v>
      </c>
      <c r="I110" s="114">
        <f t="shared" si="34"/>
        <v>0.47788791025743294</v>
      </c>
      <c r="J110" s="101">
        <f t="shared" si="35"/>
        <v>1.0000059611090188</v>
      </c>
      <c r="K110" s="104">
        <f t="shared" si="36"/>
        <v>3.4528479278961104E-3</v>
      </c>
      <c r="L110" s="102">
        <f t="shared" si="37"/>
        <v>1</v>
      </c>
      <c r="M110" s="103">
        <f t="shared" si="38"/>
        <v>1.81275236612505E-10</v>
      </c>
      <c r="N110" s="101">
        <f t="shared" si="39"/>
        <v>1</v>
      </c>
      <c r="O110" s="104">
        <f t="shared" si="40"/>
        <v>2.9004037858000801E-11</v>
      </c>
      <c r="P110" s="105">
        <f t="shared" ca="1" si="41"/>
        <v>1.0458326003978202</v>
      </c>
      <c r="Q110" s="106">
        <f t="shared" ca="1" si="42"/>
        <v>0.30685465276575863</v>
      </c>
      <c r="R110" s="107">
        <f t="shared" ca="1" si="43"/>
        <v>-11.156986817799892</v>
      </c>
      <c r="S110" s="108">
        <f t="shared" ca="1" si="44"/>
        <v>-87.853986810493524</v>
      </c>
      <c r="T110" s="116">
        <f t="shared" ca="1" si="45"/>
        <v>92.146013189506476</v>
      </c>
      <c r="V110" s="72">
        <f t="shared" ca="1" si="46"/>
        <v>5495.4</v>
      </c>
      <c r="W110" s="72">
        <f t="shared" si="47"/>
        <v>30199421.159999996</v>
      </c>
      <c r="Y110" s="110">
        <f t="shared" si="48"/>
        <v>12.767165238271286</v>
      </c>
      <c r="Z110" s="111">
        <f t="shared" si="49"/>
        <v>-62.678592703173038</v>
      </c>
      <c r="AA110" s="72">
        <f t="shared" si="50"/>
        <v>117.32140729682696</v>
      </c>
      <c r="AB110" s="110">
        <f t="shared" ca="1" si="51"/>
        <v>-8.0065517091896705</v>
      </c>
      <c r="AC110" s="111">
        <f t="shared" ca="1" si="52"/>
        <v>-25.1753941073205</v>
      </c>
      <c r="AD110" s="72">
        <f t="shared" ca="1" si="53"/>
        <v>154.8246058926795</v>
      </c>
    </row>
    <row r="111" spans="1:30">
      <c r="A111" s="118">
        <v>5559.4</v>
      </c>
      <c r="B111" s="101">
        <f t="shared" ca="1" si="27"/>
        <v>285.0919912220524</v>
      </c>
      <c r="C111" s="102">
        <f t="shared" ca="1" si="28"/>
        <v>1.5672886798549939</v>
      </c>
      <c r="D111" s="102">
        <f t="shared" si="29"/>
        <v>7.4552230717057437</v>
      </c>
      <c r="E111" s="103">
        <f t="shared" si="30"/>
        <v>1.4362566633197524</v>
      </c>
      <c r="F111" s="101">
        <f t="shared" si="31"/>
        <v>419.17007711677445</v>
      </c>
      <c r="G111" s="104">
        <f t="shared" si="32"/>
        <v>1.5684106580576427</v>
      </c>
      <c r="H111" s="113">
        <f t="shared" si="33"/>
        <v>1.1289531610841983</v>
      </c>
      <c r="I111" s="114">
        <f t="shared" si="34"/>
        <v>0.48263223327049526</v>
      </c>
      <c r="J111" s="101">
        <f t="shared" si="35"/>
        <v>1.0000061007644998</v>
      </c>
      <c r="K111" s="104">
        <f t="shared" si="36"/>
        <v>3.4930598287946225E-3</v>
      </c>
      <c r="L111" s="102">
        <f t="shared" si="37"/>
        <v>1</v>
      </c>
      <c r="M111" s="103">
        <f t="shared" si="38"/>
        <v>1.83386386873305E-10</v>
      </c>
      <c r="N111" s="101">
        <f t="shared" si="39"/>
        <v>1</v>
      </c>
      <c r="O111" s="104">
        <f t="shared" si="40"/>
        <v>2.9341821899728802E-11</v>
      </c>
      <c r="P111" s="105">
        <f t="shared" ca="1" si="41"/>
        <v>1.0468824086395387</v>
      </c>
      <c r="Q111" s="106">
        <f t="shared" ca="1" si="42"/>
        <v>0.31022522827653065</v>
      </c>
      <c r="R111" s="107">
        <f t="shared" ca="1" si="43"/>
        <v>-11.246635870402956</v>
      </c>
      <c r="S111" s="108">
        <f t="shared" ca="1" si="44"/>
        <v>-87.692836711105883</v>
      </c>
      <c r="T111" s="116">
        <f t="shared" ca="1" si="45"/>
        <v>92.307163288894117</v>
      </c>
      <c r="V111" s="72">
        <f t="shared" ca="1" si="46"/>
        <v>5559.4</v>
      </c>
      <c r="W111" s="72">
        <f t="shared" si="47"/>
        <v>30906928.359999996</v>
      </c>
      <c r="Y111" s="110">
        <f t="shared" si="48"/>
        <v>12.688059690961493</v>
      </c>
      <c r="Z111" s="111">
        <f t="shared" si="49"/>
        <v>-62.410658874931322</v>
      </c>
      <c r="AA111" s="72">
        <f t="shared" si="50"/>
        <v>117.58934112506867</v>
      </c>
      <c r="AB111" s="110">
        <f t="shared" ca="1" si="51"/>
        <v>-8.0170952144829446</v>
      </c>
      <c r="AC111" s="111">
        <f t="shared" ca="1" si="52"/>
        <v>-25.282177836174586</v>
      </c>
      <c r="AD111" s="72">
        <f t="shared" ca="1" si="53"/>
        <v>154.71782216382542</v>
      </c>
    </row>
    <row r="112" spans="1:30">
      <c r="A112" s="118">
        <v>5623.4</v>
      </c>
      <c r="B112" s="101">
        <f t="shared" ca="1" si="27"/>
        <v>288.37393967453073</v>
      </c>
      <c r="C112" s="102">
        <f t="shared" ca="1" si="28"/>
        <v>1.5673286001157123</v>
      </c>
      <c r="D112" s="102">
        <f t="shared" si="29"/>
        <v>7.539512324610695</v>
      </c>
      <c r="E112" s="103">
        <f t="shared" si="30"/>
        <v>1.4377697593123722</v>
      </c>
      <c r="F112" s="101">
        <f t="shared" si="31"/>
        <v>423.99554985154009</v>
      </c>
      <c r="G112" s="104">
        <f t="shared" si="32"/>
        <v>1.5684378092881643</v>
      </c>
      <c r="H112" s="113">
        <f t="shared" si="33"/>
        <v>1.1317652323181844</v>
      </c>
      <c r="I112" s="114">
        <f t="shared" si="34"/>
        <v>0.48735308588337101</v>
      </c>
      <c r="J112" s="101">
        <f t="shared" si="35"/>
        <v>1.0000062420369871</v>
      </c>
      <c r="K112" s="104">
        <f t="shared" si="36"/>
        <v>3.5332717183965577E-3</v>
      </c>
      <c r="L112" s="102">
        <f t="shared" si="37"/>
        <v>1</v>
      </c>
      <c r="M112" s="103">
        <f t="shared" si="38"/>
        <v>1.85497537134105E-10</v>
      </c>
      <c r="N112" s="101">
        <f t="shared" si="39"/>
        <v>1</v>
      </c>
      <c r="O112" s="104">
        <f t="shared" si="40"/>
        <v>2.9679605941456803E-11</v>
      </c>
      <c r="P112" s="105">
        <f t="shared" ca="1" si="41"/>
        <v>1.0479433071236881</v>
      </c>
      <c r="Q112" s="106">
        <f t="shared" ca="1" si="42"/>
        <v>0.31358925358362433</v>
      </c>
      <c r="R112" s="107">
        <f t="shared" ca="1" si="43"/>
        <v>-11.335014461572241</v>
      </c>
      <c r="S112" s="108">
        <f t="shared" ca="1" si="44"/>
        <v>-87.534549103232877</v>
      </c>
      <c r="T112" s="116">
        <f t="shared" ca="1" si="45"/>
        <v>92.465450896767123</v>
      </c>
      <c r="V112" s="72">
        <f t="shared" ca="1" si="46"/>
        <v>5623.4</v>
      </c>
      <c r="W112" s="72">
        <f t="shared" si="47"/>
        <v>31622627.559999995</v>
      </c>
      <c r="Y112" s="110">
        <f t="shared" si="48"/>
        <v>12.610246434854723</v>
      </c>
      <c r="Z112" s="111">
        <f t="shared" si="49"/>
        <v>-62.144033566581875</v>
      </c>
      <c r="AA112" s="72">
        <f t="shared" si="50"/>
        <v>117.85596643341813</v>
      </c>
      <c r="AB112" s="110">
        <f t="shared" ca="1" si="51"/>
        <v>-8.0276605495454625</v>
      </c>
      <c r="AC112" s="111">
        <f t="shared" ca="1" si="52"/>
        <v>-25.390515536651009</v>
      </c>
      <c r="AD112" s="72">
        <f t="shared" ca="1" si="53"/>
        <v>154.60948446334899</v>
      </c>
    </row>
    <row r="113" spans="1:30">
      <c r="A113" s="118">
        <v>5688.9</v>
      </c>
      <c r="B113" s="101">
        <f t="shared" ca="1" si="27"/>
        <v>291.73280925887542</v>
      </c>
      <c r="C113" s="102">
        <f t="shared" ca="1" si="28"/>
        <v>1.5673685259902967</v>
      </c>
      <c r="D113" s="102">
        <f t="shared" si="29"/>
        <v>7.6257945801147891</v>
      </c>
      <c r="E113" s="103">
        <f t="shared" si="30"/>
        <v>1.4392836807811138</v>
      </c>
      <c r="F113" s="101">
        <f t="shared" si="31"/>
        <v>428.93411991979906</v>
      </c>
      <c r="G113" s="104">
        <f t="shared" si="32"/>
        <v>1.5684649643328414</v>
      </c>
      <c r="H113" s="113">
        <f t="shared" si="33"/>
        <v>1.1346691968582823</v>
      </c>
      <c r="I113" s="114">
        <f t="shared" si="34"/>
        <v>0.49216024487423565</v>
      </c>
      <c r="J113" s="101">
        <f t="shared" si="35"/>
        <v>1.000006388294846</v>
      </c>
      <c r="K113" s="104">
        <f t="shared" si="36"/>
        <v>3.5744260623285138E-3</v>
      </c>
      <c r="L113" s="102">
        <f t="shared" si="37"/>
        <v>1</v>
      </c>
      <c r="M113" s="103">
        <f t="shared" si="38"/>
        <v>1.8765816747914252E-10</v>
      </c>
      <c r="N113" s="101">
        <f t="shared" si="39"/>
        <v>1</v>
      </c>
      <c r="O113" s="104">
        <f t="shared" si="40"/>
        <v>3.0025306796662802E-11</v>
      </c>
      <c r="P113" s="105">
        <f t="shared" ca="1" si="41"/>
        <v>1.0490405186575542</v>
      </c>
      <c r="Q113" s="106">
        <f t="shared" ca="1" si="42"/>
        <v>0.31702529018916231</v>
      </c>
      <c r="R113" s="107">
        <f t="shared" ca="1" si="43"/>
        <v>-11.424181131809865</v>
      </c>
      <c r="S113" s="108">
        <f t="shared" ca="1" si="44"/>
        <v>-87.375449690174307</v>
      </c>
      <c r="T113" s="116">
        <f t="shared" ca="1" si="45"/>
        <v>92.624550309825693</v>
      </c>
      <c r="V113" s="72">
        <f t="shared" ca="1" si="46"/>
        <v>5688.9</v>
      </c>
      <c r="W113" s="72">
        <f t="shared" si="47"/>
        <v>32363583.209999997</v>
      </c>
      <c r="Y113" s="110">
        <f t="shared" si="48"/>
        <v>12.531917589213341</v>
      </c>
      <c r="Z113" s="111">
        <f t="shared" si="49"/>
        <v>-61.872517484211151</v>
      </c>
      <c r="AA113" s="72">
        <f t="shared" si="50"/>
        <v>118.12748251578884</v>
      </c>
      <c r="AB113" s="110">
        <f t="shared" ca="1" si="51"/>
        <v>-8.0384983741417013</v>
      </c>
      <c r="AC113" s="111">
        <f t="shared" ca="1" si="52"/>
        <v>-25.502932205963159</v>
      </c>
      <c r="AD113" s="72">
        <f t="shared" ca="1" si="53"/>
        <v>154.49706779403684</v>
      </c>
    </row>
    <row r="114" spans="1:30">
      <c r="A114" s="118">
        <v>5754.4</v>
      </c>
      <c r="B114" s="101">
        <f t="shared" ca="1" si="27"/>
        <v>295.09167929767756</v>
      </c>
      <c r="C114" s="102">
        <f t="shared" ca="1" si="28"/>
        <v>1.5674075429553842</v>
      </c>
      <c r="D114" s="102">
        <f t="shared" si="29"/>
        <v>7.712093922513513</v>
      </c>
      <c r="E114" s="103">
        <f t="shared" si="30"/>
        <v>1.440763723619517</v>
      </c>
      <c r="F114" s="101">
        <f t="shared" si="31"/>
        <v>433.87269029715213</v>
      </c>
      <c r="G114" s="104">
        <f t="shared" si="32"/>
        <v>1.5684915011911329</v>
      </c>
      <c r="H114" s="113">
        <f t="shared" si="33"/>
        <v>1.1375992479955928</v>
      </c>
      <c r="I114" s="114">
        <f t="shared" si="34"/>
        <v>0.4969427508466161</v>
      </c>
      <c r="J114" s="101">
        <f t="shared" si="35"/>
        <v>1.0000065362463952</v>
      </c>
      <c r="K114" s="104">
        <f t="shared" si="36"/>
        <v>3.6155803941525537E-3</v>
      </c>
      <c r="L114" s="102">
        <f t="shared" si="37"/>
        <v>1</v>
      </c>
      <c r="M114" s="103">
        <f t="shared" si="38"/>
        <v>1.8981879782418001E-10</v>
      </c>
      <c r="N114" s="101">
        <f t="shared" si="39"/>
        <v>1</v>
      </c>
      <c r="O114" s="104">
        <f t="shared" si="40"/>
        <v>3.0371007651868801E-11</v>
      </c>
      <c r="P114" s="105">
        <f t="shared" ca="1" si="41"/>
        <v>1.0501492751936778</v>
      </c>
      <c r="Q114" s="106">
        <f t="shared" ca="1" si="42"/>
        <v>0.32045436366516777</v>
      </c>
      <c r="R114" s="107">
        <f t="shared" ca="1" si="43"/>
        <v>-11.512081331039157</v>
      </c>
      <c r="S114" s="108">
        <f t="shared" ca="1" si="44"/>
        <v>-87.219217438787339</v>
      </c>
      <c r="T114" s="116">
        <f t="shared" ca="1" si="45"/>
        <v>92.780782561212661</v>
      </c>
      <c r="V114" s="72">
        <f t="shared" ca="1" si="46"/>
        <v>5754.4</v>
      </c>
      <c r="W114" s="72">
        <f t="shared" si="47"/>
        <v>33113119.359999996</v>
      </c>
      <c r="Y114" s="110">
        <f t="shared" si="48"/>
        <v>12.454882511392453</v>
      </c>
      <c r="Z114" s="111">
        <f t="shared" si="49"/>
        <v>-61.602378495588823</v>
      </c>
      <c r="AA114" s="72">
        <f t="shared" si="50"/>
        <v>118.39762150441118</v>
      </c>
      <c r="AB114" s="110">
        <f t="shared" ca="1" si="51"/>
        <v>-8.0493634955501072</v>
      </c>
      <c r="AC114" s="111">
        <f t="shared" ca="1" si="52"/>
        <v>-25.616838943198537</v>
      </c>
      <c r="AD114" s="72">
        <f t="shared" ca="1" si="53"/>
        <v>154.38316105680147</v>
      </c>
    </row>
    <row r="115" spans="1:30">
      <c r="A115" s="118">
        <v>5821.4</v>
      </c>
      <c r="B115" s="101">
        <f t="shared" ca="1" si="27"/>
        <v>298.52747047858691</v>
      </c>
      <c r="C115" s="102">
        <f t="shared" ca="1" si="28"/>
        <v>1.567446545052626</v>
      </c>
      <c r="D115" s="102">
        <f t="shared" si="29"/>
        <v>7.8003866728294646</v>
      </c>
      <c r="E115" s="103">
        <f t="shared" si="30"/>
        <v>1.4422437748869954</v>
      </c>
      <c r="F115" s="101">
        <f t="shared" si="31"/>
        <v>438.9243580149635</v>
      </c>
      <c r="G115" s="104">
        <f t="shared" si="32"/>
        <v>1.5685180279334923</v>
      </c>
      <c r="H115" s="113">
        <f t="shared" si="33"/>
        <v>1.1406231794909087</v>
      </c>
      <c r="I115" s="114">
        <f t="shared" si="34"/>
        <v>0.5018092444241854</v>
      </c>
      <c r="J115" s="101">
        <f t="shared" si="35"/>
        <v>1.0000066893384618</v>
      </c>
      <c r="K115" s="104">
        <f t="shared" si="36"/>
        <v>3.6576771789185473E-3</v>
      </c>
      <c r="L115" s="102">
        <f t="shared" si="37"/>
        <v>1</v>
      </c>
      <c r="M115" s="103">
        <f t="shared" si="38"/>
        <v>1.9202890825345501E-10</v>
      </c>
      <c r="N115" s="101">
        <f t="shared" si="39"/>
        <v>1</v>
      </c>
      <c r="O115" s="104">
        <f t="shared" si="40"/>
        <v>3.0724625320552798E-11</v>
      </c>
      <c r="P115" s="105">
        <f t="shared" ca="1" si="41"/>
        <v>1.0512953298226722</v>
      </c>
      <c r="Q115" s="106">
        <f t="shared" ca="1" si="42"/>
        <v>0.32395470874409188</v>
      </c>
      <c r="R115" s="107">
        <f t="shared" ca="1" si="43"/>
        <v>-11.600716359823597</v>
      </c>
      <c r="S115" s="108">
        <f t="shared" ca="1" si="44"/>
        <v>-87.062308698295411</v>
      </c>
      <c r="T115" s="116">
        <f t="shared" ca="1" si="45"/>
        <v>92.937691301704589</v>
      </c>
      <c r="V115" s="72">
        <f t="shared" ca="1" si="46"/>
        <v>5821.4</v>
      </c>
      <c r="W115" s="72">
        <f t="shared" si="47"/>
        <v>33888697.959999993</v>
      </c>
      <c r="Y115" s="110">
        <f t="shared" si="48"/>
        <v>12.37739175805843</v>
      </c>
      <c r="Z115" s="111">
        <f t="shared" si="49"/>
        <v>-61.327480790625657</v>
      </c>
      <c r="AA115" s="72">
        <f t="shared" si="50"/>
        <v>118.67251920937434</v>
      </c>
      <c r="AB115" s="110">
        <f t="shared" ca="1" si="51"/>
        <v>-8.0605077710005251</v>
      </c>
      <c r="AC115" s="111">
        <f t="shared" ca="1" si="52"/>
        <v>-25.734827907669715</v>
      </c>
      <c r="AD115" s="72">
        <f t="shared" ca="1" si="53"/>
        <v>154.26517209233029</v>
      </c>
    </row>
    <row r="116" spans="1:30">
      <c r="A116" s="118">
        <v>5888.4</v>
      </c>
      <c r="B116" s="101">
        <f t="shared" ca="1" si="27"/>
        <v>301.9632621032714</v>
      </c>
      <c r="C116" s="102">
        <f t="shared" ca="1" si="28"/>
        <v>1.5674846596043464</v>
      </c>
      <c r="D116" s="102">
        <f t="shared" si="29"/>
        <v>7.8886961277851286</v>
      </c>
      <c r="E116" s="103">
        <f t="shared" si="30"/>
        <v>1.4436906926051503</v>
      </c>
      <c r="F116" s="101">
        <f t="shared" si="31"/>
        <v>443.97602603460342</v>
      </c>
      <c r="G116" s="104">
        <f t="shared" si="32"/>
        <v>1.5685439510203196</v>
      </c>
      <c r="H116" s="113">
        <f t="shared" si="33"/>
        <v>1.1436739808708865</v>
      </c>
      <c r="I116" s="114">
        <f t="shared" si="34"/>
        <v>0.50664988895688834</v>
      </c>
      <c r="J116" s="101">
        <f t="shared" si="35"/>
        <v>1.0000068442026788</v>
      </c>
      <c r="K116" s="104">
        <f t="shared" si="36"/>
        <v>3.699773950720661E-3</v>
      </c>
      <c r="L116" s="102">
        <f t="shared" si="37"/>
        <v>1</v>
      </c>
      <c r="M116" s="103">
        <f t="shared" si="38"/>
        <v>1.9423901868273002E-10</v>
      </c>
      <c r="N116" s="101">
        <f t="shared" si="39"/>
        <v>1</v>
      </c>
      <c r="O116" s="104">
        <f t="shared" si="40"/>
        <v>3.1078242989236801E-11</v>
      </c>
      <c r="P116" s="105">
        <f t="shared" ca="1" si="41"/>
        <v>1.0524533871175139</v>
      </c>
      <c r="Q116" s="106">
        <f t="shared" ca="1" si="42"/>
        <v>0.32744766211134463</v>
      </c>
      <c r="R116" s="107">
        <f t="shared" ca="1" si="43"/>
        <v>-11.688090419499325</v>
      </c>
      <c r="S116" s="108">
        <f t="shared" ca="1" si="44"/>
        <v>-86.908270457366797</v>
      </c>
      <c r="T116" s="116">
        <f t="shared" ca="1" si="45"/>
        <v>93.091729542633203</v>
      </c>
      <c r="V116" s="72">
        <f t="shared" ca="1" si="46"/>
        <v>5888.4</v>
      </c>
      <c r="W116" s="72">
        <f t="shared" si="47"/>
        <v>34673254.559999995</v>
      </c>
      <c r="Y116" s="110">
        <f t="shared" si="48"/>
        <v>12.301194630219802</v>
      </c>
      <c r="Z116" s="111">
        <f t="shared" si="49"/>
        <v>-61.05402953918243</v>
      </c>
      <c r="AA116" s="72">
        <f t="shared" si="50"/>
        <v>118.94597046081756</v>
      </c>
      <c r="AB116" s="110">
        <f t="shared" ca="1" si="51"/>
        <v>-8.0716847028376257</v>
      </c>
      <c r="AC116" s="111">
        <f t="shared" ca="1" si="52"/>
        <v>-25.854240918184388</v>
      </c>
      <c r="AD116" s="72">
        <f t="shared" ca="1" si="53"/>
        <v>154.14575908181561</v>
      </c>
    </row>
    <row r="117" spans="1:30">
      <c r="A117" s="118">
        <v>5957</v>
      </c>
      <c r="B117" s="101">
        <f t="shared" ca="1" si="27"/>
        <v>305.48110292733281</v>
      </c>
      <c r="C117" s="102">
        <f t="shared" ca="1" si="28"/>
        <v>1.5675227960382634</v>
      </c>
      <c r="D117" s="102">
        <f t="shared" si="29"/>
        <v>7.9791311937859373</v>
      </c>
      <c r="E117" s="103">
        <f t="shared" si="30"/>
        <v>1.4451389764085976</v>
      </c>
      <c r="F117" s="101">
        <f t="shared" si="31"/>
        <v>449.14833120456416</v>
      </c>
      <c r="G117" s="104">
        <f t="shared" si="32"/>
        <v>1.5685698889865016</v>
      </c>
      <c r="H117" s="113">
        <f t="shared" si="33"/>
        <v>1.1468252532970127</v>
      </c>
      <c r="I117" s="114">
        <f t="shared" si="34"/>
        <v>0.51157932814177276</v>
      </c>
      <c r="J117" s="101">
        <f t="shared" si="35"/>
        <v>1.0000070046012812</v>
      </c>
      <c r="K117" s="104">
        <f t="shared" si="36"/>
        <v>3.7428760049780406E-3</v>
      </c>
      <c r="L117" s="102">
        <f t="shared" si="37"/>
        <v>1</v>
      </c>
      <c r="M117" s="103">
        <f t="shared" si="38"/>
        <v>1.9650190786852503E-10</v>
      </c>
      <c r="N117" s="101">
        <f t="shared" si="39"/>
        <v>1</v>
      </c>
      <c r="O117" s="104">
        <f t="shared" si="40"/>
        <v>3.1440305258964005E-11</v>
      </c>
      <c r="P117" s="105">
        <f t="shared" ca="1" si="41"/>
        <v>1.0536514944220314</v>
      </c>
      <c r="Q117" s="106">
        <f t="shared" ca="1" si="42"/>
        <v>0.33101631612214005</v>
      </c>
      <c r="R117" s="107">
        <f t="shared" ca="1" si="43"/>
        <v>-11.776276701052421</v>
      </c>
      <c r="S117" s="108">
        <f t="shared" ca="1" si="44"/>
        <v>-86.753463418804856</v>
      </c>
      <c r="T117" s="116">
        <f t="shared" ca="1" si="45"/>
        <v>93.246536581195144</v>
      </c>
      <c r="V117" s="72">
        <f t="shared" ca="1" si="46"/>
        <v>5957</v>
      </c>
      <c r="W117" s="72">
        <f t="shared" si="47"/>
        <v>35485849</v>
      </c>
      <c r="Y117" s="110">
        <f t="shared" si="48"/>
        <v>12.22448795630287</v>
      </c>
      <c r="Z117" s="111">
        <f t="shared" si="49"/>
        <v>-60.77554917988369</v>
      </c>
      <c r="AA117" s="72">
        <f t="shared" si="50"/>
        <v>119.22445082011632</v>
      </c>
      <c r="AB117" s="110">
        <f t="shared" ca="1" si="51"/>
        <v>-8.0831643104737854</v>
      </c>
      <c r="AC117" s="111">
        <f t="shared" ca="1" si="52"/>
        <v>-25.977914238921151</v>
      </c>
      <c r="AD117" s="72">
        <f t="shared" ca="1" si="53"/>
        <v>154.02208576107884</v>
      </c>
    </row>
    <row r="118" spans="1:30">
      <c r="A118" s="118">
        <v>6025.6</v>
      </c>
      <c r="B118" s="101">
        <f t="shared" ca="1" si="27"/>
        <v>308.99894418556602</v>
      </c>
      <c r="C118" s="102">
        <f t="shared" ca="1" si="28"/>
        <v>1.5675600641332106</v>
      </c>
      <c r="D118" s="102">
        <f t="shared" si="29"/>
        <v>8.0695826210741224</v>
      </c>
      <c r="E118" s="103">
        <f t="shared" si="30"/>
        <v>1.4465547956884321</v>
      </c>
      <c r="F118" s="101">
        <f t="shared" si="31"/>
        <v>454.32063666982157</v>
      </c>
      <c r="G118" s="104">
        <f t="shared" si="32"/>
        <v>1.5685952363606233</v>
      </c>
      <c r="H118" s="113">
        <f t="shared" si="33"/>
        <v>1.1500042397367987</v>
      </c>
      <c r="I118" s="114">
        <f t="shared" si="34"/>
        <v>0.51648163275123893</v>
      </c>
      <c r="J118" s="101">
        <f t="shared" si="35"/>
        <v>1.0000071668576829</v>
      </c>
      <c r="K118" s="104">
        <f t="shared" si="36"/>
        <v>3.7859780453284274E-3</v>
      </c>
      <c r="L118" s="102">
        <f t="shared" si="37"/>
        <v>1</v>
      </c>
      <c r="M118" s="103">
        <f t="shared" si="38"/>
        <v>1.9876479705432004E-10</v>
      </c>
      <c r="N118" s="101">
        <f t="shared" si="39"/>
        <v>1</v>
      </c>
      <c r="O118" s="104">
        <f t="shared" si="40"/>
        <v>3.1802367528691202E-11</v>
      </c>
      <c r="P118" s="105">
        <f t="shared" ca="1" si="41"/>
        <v>1.0548621007021672</v>
      </c>
      <c r="Q118" s="106">
        <f t="shared" ca="1" si="42"/>
        <v>0.33457711127789475</v>
      </c>
      <c r="R118" s="107">
        <f t="shared" ca="1" si="43"/>
        <v>-11.863205323132476</v>
      </c>
      <c r="S118" s="108">
        <f t="shared" ca="1" si="44"/>
        <v>-86.601537286470361</v>
      </c>
      <c r="T118" s="116">
        <f t="shared" ca="1" si="45"/>
        <v>93.398462713529639</v>
      </c>
      <c r="V118" s="72">
        <f t="shared" ca="1" si="46"/>
        <v>6025.6</v>
      </c>
      <c r="W118" s="72">
        <f t="shared" si="47"/>
        <v>36307855.360000007</v>
      </c>
      <c r="Y118" s="110">
        <f t="shared" si="48"/>
        <v>12.149076946696107</v>
      </c>
      <c r="Z118" s="111">
        <f t="shared" si="49"/>
        <v>-60.498589678007754</v>
      </c>
      <c r="AA118" s="72">
        <f t="shared" si="50"/>
        <v>119.50141032199224</v>
      </c>
      <c r="AB118" s="110">
        <f t="shared" ca="1" si="51"/>
        <v>-8.0946819229470801</v>
      </c>
      <c r="AC118" s="111">
        <f t="shared" ca="1" si="52"/>
        <v>-26.102947608462596</v>
      </c>
      <c r="AD118" s="72">
        <f t="shared" ca="1" si="53"/>
        <v>153.89705239153741</v>
      </c>
    </row>
    <row r="119" spans="1:30">
      <c r="A119" s="118">
        <v>6095.8</v>
      </c>
      <c r="B119" s="101">
        <f t="shared" ca="1" si="27"/>
        <v>312.5988346536883</v>
      </c>
      <c r="C119" s="102">
        <f t="shared" ca="1" si="28"/>
        <v>1.5675973330855844</v>
      </c>
      <c r="D119" s="102">
        <f t="shared" si="29"/>
        <v>8.1621600732932791</v>
      </c>
      <c r="E119" s="103">
        <f t="shared" si="30"/>
        <v>1.4479711480683815</v>
      </c>
      <c r="F119" s="101">
        <f t="shared" si="31"/>
        <v>459.61357929254939</v>
      </c>
      <c r="G119" s="104">
        <f t="shared" si="32"/>
        <v>1.5686205843146253</v>
      </c>
      <c r="H119" s="113">
        <f t="shared" si="33"/>
        <v>1.1532858236564969</v>
      </c>
      <c r="I119" s="114">
        <f t="shared" si="34"/>
        <v>0.5214701748910473</v>
      </c>
      <c r="J119" s="101">
        <f t="shared" si="35"/>
        <v>1.0000073348217902</v>
      </c>
      <c r="K119" s="104">
        <f t="shared" si="36"/>
        <v>3.8300853665161759E-3</v>
      </c>
      <c r="L119" s="102">
        <f t="shared" si="37"/>
        <v>1</v>
      </c>
      <c r="M119" s="103">
        <f t="shared" si="38"/>
        <v>2.0108046499663502E-10</v>
      </c>
      <c r="N119" s="101">
        <f t="shared" si="39"/>
        <v>1</v>
      </c>
      <c r="O119" s="104">
        <f t="shared" si="40"/>
        <v>3.2172874399461605E-11</v>
      </c>
      <c r="P119" s="105">
        <f t="shared" ca="1" si="41"/>
        <v>1.0561138377376131</v>
      </c>
      <c r="Q119" s="106">
        <f t="shared" ca="1" si="42"/>
        <v>0.33821276465782302</v>
      </c>
      <c r="R119" s="107">
        <f t="shared" ca="1" si="43"/>
        <v>-11.950891636836541</v>
      </c>
      <c r="S119" s="108">
        <f t="shared" ca="1" si="44"/>
        <v>-86.448986304229535</v>
      </c>
      <c r="T119" s="116">
        <f t="shared" ca="1" si="45"/>
        <v>93.551013695770465</v>
      </c>
      <c r="V119" s="72">
        <f t="shared" ca="1" si="46"/>
        <v>6095.8</v>
      </c>
      <c r="W119" s="72">
        <f t="shared" si="47"/>
        <v>37158777.640000001</v>
      </c>
      <c r="Y119" s="110">
        <f t="shared" si="48"/>
        <v>12.073217988098964</v>
      </c>
      <c r="Z119" s="111">
        <f t="shared" si="49"/>
        <v>-60.216746761173361</v>
      </c>
      <c r="AA119" s="72">
        <f t="shared" si="50"/>
        <v>119.78325323882663</v>
      </c>
      <c r="AB119" s="110">
        <f t="shared" ca="1" si="51"/>
        <v>-8.1065092780539985</v>
      </c>
      <c r="AC119" s="111">
        <f t="shared" ca="1" si="52"/>
        <v>-26.232239543056181</v>
      </c>
      <c r="AD119" s="72">
        <f t="shared" ca="1" si="53"/>
        <v>153.76776045694382</v>
      </c>
    </row>
    <row r="120" spans="1:30">
      <c r="A120" s="118">
        <v>6166</v>
      </c>
      <c r="B120" s="101">
        <f t="shared" ca="1" si="27"/>
        <v>316.19872554611607</v>
      </c>
      <c r="C120" s="102">
        <f t="shared" ca="1" si="28"/>
        <v>1.5676337534314106</v>
      </c>
      <c r="D120" s="102">
        <f t="shared" si="29"/>
        <v>8.2547535319635017</v>
      </c>
      <c r="E120" s="103">
        <f t="shared" si="30"/>
        <v>1.4493557287632237</v>
      </c>
      <c r="F120" s="101">
        <f t="shared" si="31"/>
        <v>464.90652220386335</v>
      </c>
      <c r="G120" s="104">
        <f t="shared" si="32"/>
        <v>1.5686453550976764</v>
      </c>
      <c r="H120" s="113">
        <f t="shared" si="33"/>
        <v>1.1565959444554383</v>
      </c>
      <c r="I120" s="114">
        <f t="shared" si="34"/>
        <v>0.52643028595484731</v>
      </c>
      <c r="J120" s="101">
        <f t="shared" si="35"/>
        <v>1.0000075047313668</v>
      </c>
      <c r="K120" s="104">
        <f t="shared" si="36"/>
        <v>3.8741926728013336E-3</v>
      </c>
      <c r="L120" s="102">
        <f t="shared" si="37"/>
        <v>1</v>
      </c>
      <c r="M120" s="103">
        <f t="shared" si="38"/>
        <v>2.0339613293895001E-10</v>
      </c>
      <c r="N120" s="101">
        <f t="shared" si="39"/>
        <v>1</v>
      </c>
      <c r="O120" s="104">
        <f t="shared" si="40"/>
        <v>3.2543381270232001E-11</v>
      </c>
      <c r="P120" s="105">
        <f t="shared" ca="1" si="41"/>
        <v>1.0573785727209424</v>
      </c>
      <c r="Q120" s="106">
        <f t="shared" ca="1" si="42"/>
        <v>0.34184007473300032</v>
      </c>
      <c r="R120" s="107">
        <f t="shared" ca="1" si="43"/>
        <v>-12.037325230677192</v>
      </c>
      <c r="S120" s="108">
        <f t="shared" ca="1" si="44"/>
        <v>-86.299324958082522</v>
      </c>
      <c r="T120" s="116">
        <f t="shared" ca="1" si="45"/>
        <v>93.700675041917478</v>
      </c>
      <c r="V120" s="72">
        <f t="shared" ca="1" si="46"/>
        <v>6166</v>
      </c>
      <c r="W120" s="72">
        <f t="shared" si="47"/>
        <v>38019556</v>
      </c>
      <c r="Y120" s="110">
        <f t="shared" si="48"/>
        <v>11.998654991443891</v>
      </c>
      <c r="Z120" s="111">
        <f t="shared" si="49"/>
        <v>-59.936499754689699</v>
      </c>
      <c r="AA120" s="72">
        <f t="shared" si="50"/>
        <v>120.06350024531031</v>
      </c>
      <c r="AB120" s="110">
        <f t="shared" ca="1" si="51"/>
        <v>-8.1183798752395795</v>
      </c>
      <c r="AC120" s="111">
        <f t="shared" ca="1" si="52"/>
        <v>-26.362825203392841</v>
      </c>
      <c r="AD120" s="72">
        <f t="shared" ca="1" si="53"/>
        <v>153.63717479660716</v>
      </c>
    </row>
    <row r="121" spans="1:30">
      <c r="A121" s="118">
        <v>6237.8</v>
      </c>
      <c r="B121" s="101">
        <f t="shared" ca="1" si="27"/>
        <v>319.88066565780338</v>
      </c>
      <c r="C121" s="102">
        <f t="shared" ca="1" si="28"/>
        <v>1.5676701558937278</v>
      </c>
      <c r="D121" s="102">
        <f t="shared" si="29"/>
        <v>8.3494733856399694</v>
      </c>
      <c r="E121" s="103">
        <f t="shared" si="30"/>
        <v>1.4507400970027728</v>
      </c>
      <c r="F121" s="101">
        <f t="shared" si="31"/>
        <v>470.32010227902083</v>
      </c>
      <c r="G121" s="104">
        <f t="shared" si="32"/>
        <v>1.568670113714447</v>
      </c>
      <c r="H121" s="113">
        <f t="shared" si="33"/>
        <v>1.1600107748743576</v>
      </c>
      <c r="I121" s="114">
        <f t="shared" si="34"/>
        <v>0.5314740379534586</v>
      </c>
      <c r="J121" s="101">
        <f t="shared" si="35"/>
        <v>1.0000076805260121</v>
      </c>
      <c r="K121" s="104">
        <f t="shared" si="36"/>
        <v>3.9193052582218151E-3</v>
      </c>
      <c r="L121" s="102">
        <f t="shared" si="37"/>
        <v>1</v>
      </c>
      <c r="M121" s="103">
        <f t="shared" si="38"/>
        <v>2.0576457963778503E-10</v>
      </c>
      <c r="N121" s="101">
        <f t="shared" si="39"/>
        <v>1</v>
      </c>
      <c r="O121" s="104">
        <f t="shared" si="40"/>
        <v>3.2922332742045604E-11</v>
      </c>
      <c r="P121" s="105">
        <f t="shared" ca="1" si="41"/>
        <v>1.0586855309649172</v>
      </c>
      <c r="Q121" s="106">
        <f t="shared" ca="1" si="42"/>
        <v>0.34554136964730292</v>
      </c>
      <c r="R121" s="107">
        <f t="shared" ca="1" si="43"/>
        <v>-12.12446513318482</v>
      </c>
      <c r="S121" s="108">
        <f t="shared" ca="1" si="44"/>
        <v>-86.149178407720228</v>
      </c>
      <c r="T121" s="116">
        <f t="shared" ca="1" si="45"/>
        <v>93.850821592279772</v>
      </c>
      <c r="V121" s="72">
        <f t="shared" ca="1" si="46"/>
        <v>6237.8</v>
      </c>
      <c r="W121" s="72">
        <f t="shared" si="47"/>
        <v>38910148.840000004</v>
      </c>
      <c r="Y121" s="110">
        <f t="shared" si="48"/>
        <v>11.923702573314445</v>
      </c>
      <c r="Z121" s="111">
        <f t="shared" si="49"/>
        <v>-59.651517376814013</v>
      </c>
      <c r="AA121" s="72">
        <f t="shared" si="50"/>
        <v>120.34848262318599</v>
      </c>
      <c r="AB121" s="110">
        <f t="shared" ca="1" si="51"/>
        <v>-8.1305673596177606</v>
      </c>
      <c r="AC121" s="111">
        <f t="shared" ca="1" si="52"/>
        <v>-26.497661030906219</v>
      </c>
      <c r="AD121" s="72">
        <f t="shared" ca="1" si="53"/>
        <v>153.50233896909378</v>
      </c>
    </row>
    <row r="122" spans="1:30">
      <c r="A122" s="118">
        <v>6309.6</v>
      </c>
      <c r="B122" s="101">
        <f t="shared" ca="1" si="27"/>
        <v>323.56260618373</v>
      </c>
      <c r="C122" s="102">
        <f t="shared" ca="1" si="28"/>
        <v>1.5677057298814856</v>
      </c>
      <c r="D122" s="102">
        <f t="shared" si="29"/>
        <v>8.4442088818759018</v>
      </c>
      <c r="E122" s="103">
        <f t="shared" si="30"/>
        <v>1.4520934053603543</v>
      </c>
      <c r="F122" s="101">
        <f t="shared" si="31"/>
        <v>475.733682635918</v>
      </c>
      <c r="G122" s="104">
        <f t="shared" si="32"/>
        <v>1.5686943088531085</v>
      </c>
      <c r="H122" s="113">
        <f t="shared" si="33"/>
        <v>1.1634549416462781</v>
      </c>
      <c r="I122" s="114">
        <f t="shared" si="34"/>
        <v>0.5364880549186577</v>
      </c>
      <c r="J122" s="101">
        <f t="shared" si="35"/>
        <v>1.0000078583558174</v>
      </c>
      <c r="K122" s="104">
        <f t="shared" si="36"/>
        <v>3.9644178276895077E-3</v>
      </c>
      <c r="L122" s="102">
        <f t="shared" si="37"/>
        <v>1</v>
      </c>
      <c r="M122" s="103">
        <f t="shared" si="38"/>
        <v>2.0813302633662002E-10</v>
      </c>
      <c r="N122" s="101">
        <f t="shared" si="39"/>
        <v>1</v>
      </c>
      <c r="O122" s="104">
        <f t="shared" si="40"/>
        <v>3.3301284213859206E-11</v>
      </c>
      <c r="P122" s="105">
        <f t="shared" ca="1" si="41"/>
        <v>1.0600059880706221</v>
      </c>
      <c r="Q122" s="106">
        <f t="shared" ca="1" si="42"/>
        <v>0.3492338196505424</v>
      </c>
      <c r="R122" s="107">
        <f t="shared" ca="1" si="43"/>
        <v>-12.210358796442438</v>
      </c>
      <c r="S122" s="108">
        <f t="shared" ca="1" si="44"/>
        <v>-86.001928619427105</v>
      </c>
      <c r="T122" s="116">
        <f t="shared" ca="1" si="45"/>
        <v>93.998071380572895</v>
      </c>
      <c r="V122" s="72">
        <f t="shared" ca="1" si="46"/>
        <v>6309.6</v>
      </c>
      <c r="W122" s="72">
        <f t="shared" si="47"/>
        <v>39811052.160000004</v>
      </c>
      <c r="Y122" s="110">
        <f t="shared" si="48"/>
        <v>11.850044744106347</v>
      </c>
      <c r="Z122" s="111">
        <f t="shared" si="49"/>
        <v>-59.368206405026925</v>
      </c>
      <c r="AA122" s="72">
        <f t="shared" si="50"/>
        <v>120.63179359497308</v>
      </c>
      <c r="AB122" s="110">
        <f t="shared" ca="1" si="51"/>
        <v>-8.142803193667282</v>
      </c>
      <c r="AC122" s="111">
        <f t="shared" ca="1" si="52"/>
        <v>-26.633722214400162</v>
      </c>
      <c r="AD122" s="72">
        <f t="shared" ca="1" si="53"/>
        <v>153.36627778559983</v>
      </c>
    </row>
    <row r="123" spans="1:30">
      <c r="A123" s="118">
        <v>6383.05</v>
      </c>
      <c r="B123" s="101">
        <f t="shared" ca="1" si="27"/>
        <v>327.32915996309356</v>
      </c>
      <c r="C123" s="102">
        <f t="shared" ca="1" si="28"/>
        <v>1.5677412932755708</v>
      </c>
      <c r="D123" s="102">
        <f t="shared" si="29"/>
        <v>8.5411370905034421</v>
      </c>
      <c r="E123" s="103">
        <f t="shared" si="30"/>
        <v>1.4534467472102401</v>
      </c>
      <c r="F123" s="101">
        <f t="shared" si="31"/>
        <v>481.27167006535944</v>
      </c>
      <c r="G123" s="104">
        <f t="shared" si="32"/>
        <v>1.5687184967837773</v>
      </c>
      <c r="H123" s="113">
        <f t="shared" si="33"/>
        <v>1.1670083416097414</v>
      </c>
      <c r="I123" s="114">
        <f t="shared" si="34"/>
        <v>0.54158654148911756</v>
      </c>
      <c r="J123" s="101">
        <f t="shared" si="35"/>
        <v>1.0000080423780908</v>
      </c>
      <c r="K123" s="104">
        <f t="shared" si="36"/>
        <v>4.0105670899243332E-3</v>
      </c>
      <c r="L123" s="102">
        <f t="shared" si="37"/>
        <v>1</v>
      </c>
      <c r="M123" s="103">
        <f t="shared" si="38"/>
        <v>2.1055590112811627E-10</v>
      </c>
      <c r="N123" s="101">
        <f t="shared" si="39"/>
        <v>1</v>
      </c>
      <c r="O123" s="104">
        <f t="shared" si="40"/>
        <v>3.3688944180498603E-11</v>
      </c>
      <c r="P123" s="105">
        <f t="shared" ca="1" si="41"/>
        <v>1.0613707054240391</v>
      </c>
      <c r="Q123" s="106">
        <f t="shared" ca="1" si="42"/>
        <v>0.35300191206197623</v>
      </c>
      <c r="R123" s="107">
        <f t="shared" ca="1" si="43"/>
        <v>-12.296968976668865</v>
      </c>
      <c r="S123" s="108">
        <f t="shared" ca="1" si="44"/>
        <v>-85.854229529186199</v>
      </c>
      <c r="T123" s="116">
        <f t="shared" ca="1" si="45"/>
        <v>94.145770470813801</v>
      </c>
      <c r="V123" s="72">
        <f t="shared" ca="1" si="46"/>
        <v>6383.05</v>
      </c>
      <c r="W123" s="72">
        <f t="shared" si="47"/>
        <v>40743327.302500002</v>
      </c>
      <c r="Y123" s="110">
        <f t="shared" si="48"/>
        <v>11.776003048917287</v>
      </c>
      <c r="Z123" s="111">
        <f t="shared" si="49"/>
        <v>-59.080114666485834</v>
      </c>
      <c r="AA123" s="72">
        <f t="shared" si="50"/>
        <v>120.91988533351417</v>
      </c>
      <c r="AB123" s="110">
        <f t="shared" ca="1" si="51"/>
        <v>-8.1553716787046486</v>
      </c>
      <c r="AC123" s="111">
        <f t="shared" ca="1" si="52"/>
        <v>-26.774114862700369</v>
      </c>
      <c r="AD123" s="72">
        <f t="shared" ca="1" si="53"/>
        <v>153.22588513729963</v>
      </c>
    </row>
    <row r="124" spans="1:30">
      <c r="A124" s="118">
        <v>6456.5</v>
      </c>
      <c r="B124" s="101">
        <f t="shared" ca="1" si="27"/>
        <v>331.09571414702918</v>
      </c>
      <c r="C124" s="102">
        <f t="shared" ca="1" si="28"/>
        <v>1.5677760475293505</v>
      </c>
      <c r="D124" s="102">
        <f t="shared" si="29"/>
        <v>8.6380805914289169</v>
      </c>
      <c r="E124" s="103">
        <f t="shared" si="30"/>
        <v>1.4547697148525576</v>
      </c>
      <c r="F124" s="101">
        <f t="shared" si="31"/>
        <v>486.80965776996544</v>
      </c>
      <c r="G124" s="104">
        <f t="shared" si="32"/>
        <v>1.5687421343865831</v>
      </c>
      <c r="H124" s="113">
        <f t="shared" si="33"/>
        <v>1.1705918928167485</v>
      </c>
      <c r="I124" s="114">
        <f t="shared" si="34"/>
        <v>0.54665394296293601</v>
      </c>
      <c r="J124" s="101">
        <f t="shared" si="35"/>
        <v>1.0000082285301353</v>
      </c>
      <c r="K124" s="104">
        <f t="shared" si="36"/>
        <v>4.0567163350760278E-3</v>
      </c>
      <c r="L124" s="102">
        <f t="shared" si="37"/>
        <v>1</v>
      </c>
      <c r="M124" s="103">
        <f t="shared" si="38"/>
        <v>2.1297877591961251E-10</v>
      </c>
      <c r="N124" s="101">
        <f t="shared" si="39"/>
        <v>1</v>
      </c>
      <c r="O124" s="104">
        <f t="shared" si="40"/>
        <v>3.4076604147138E-11</v>
      </c>
      <c r="P124" s="105">
        <f t="shared" ca="1" si="41"/>
        <v>1.0627494428023756</v>
      </c>
      <c r="Q124" s="106">
        <f t="shared" ca="1" si="42"/>
        <v>0.35676062821250776</v>
      </c>
      <c r="R124" s="107">
        <f t="shared" ca="1" si="43"/>
        <v>-12.382339185066058</v>
      </c>
      <c r="S124" s="108">
        <f t="shared" ca="1" si="44"/>
        <v>-85.709436684747089</v>
      </c>
      <c r="T124" s="116">
        <f t="shared" ca="1" si="45"/>
        <v>94.290563315252911</v>
      </c>
      <c r="V124" s="72">
        <f t="shared" ca="1" si="46"/>
        <v>6456.5</v>
      </c>
      <c r="W124" s="72">
        <f t="shared" si="47"/>
        <v>41686392.25</v>
      </c>
      <c r="Y124" s="110">
        <f t="shared" si="48"/>
        <v>11.703254709703687</v>
      </c>
      <c r="Z124" s="111">
        <f t="shared" si="49"/>
        <v>-58.793772440347325</v>
      </c>
      <c r="AA124" s="72">
        <f t="shared" si="50"/>
        <v>121.20622755965267</v>
      </c>
      <c r="AB124" s="110">
        <f t="shared" ca="1" si="51"/>
        <v>-8.1679935478882406</v>
      </c>
      <c r="AC124" s="111">
        <f t="shared" ca="1" si="52"/>
        <v>-26.915664244399768</v>
      </c>
      <c r="AD124" s="72">
        <f t="shared" ca="1" si="53"/>
        <v>153.08433575560022</v>
      </c>
    </row>
    <row r="125" spans="1:30">
      <c r="A125" s="118">
        <v>6531.7</v>
      </c>
      <c r="B125" s="101">
        <f t="shared" ca="1" si="27"/>
        <v>334.95200964561855</v>
      </c>
      <c r="C125" s="102">
        <f t="shared" ca="1" si="28"/>
        <v>1.5678108200454333</v>
      </c>
      <c r="D125" s="102">
        <f t="shared" si="29"/>
        <v>8.7373491538273402</v>
      </c>
      <c r="E125" s="103">
        <f t="shared" si="30"/>
        <v>1.456093785824639</v>
      </c>
      <c r="F125" s="101">
        <f t="shared" si="31"/>
        <v>492.4795923596626</v>
      </c>
      <c r="G125" s="104">
        <f t="shared" si="32"/>
        <v>1.5687657844075611</v>
      </c>
      <c r="H125" s="113">
        <f t="shared" si="33"/>
        <v>1.1742917738542582</v>
      </c>
      <c r="I125" s="114">
        <f t="shared" si="34"/>
        <v>0.55180990084641302</v>
      </c>
      <c r="J125" s="101">
        <f t="shared" si="35"/>
        <v>1.0000084213238771</v>
      </c>
      <c r="K125" s="104">
        <f t="shared" si="36"/>
        <v>4.1039651018612644E-3</v>
      </c>
      <c r="L125" s="102">
        <f t="shared" si="37"/>
        <v>1</v>
      </c>
      <c r="M125" s="103">
        <f t="shared" si="38"/>
        <v>2.1545937747605252E-10</v>
      </c>
      <c r="N125" s="101">
        <f t="shared" si="39"/>
        <v>1</v>
      </c>
      <c r="O125" s="104">
        <f t="shared" si="40"/>
        <v>3.4473500396168399E-11</v>
      </c>
      <c r="P125" s="105">
        <f t="shared" ca="1" si="41"/>
        <v>1.064175498060087</v>
      </c>
      <c r="Q125" s="106">
        <f t="shared" ca="1" si="42"/>
        <v>0.36059912308125158</v>
      </c>
      <c r="R125" s="107">
        <f t="shared" ca="1" si="43"/>
        <v>-12.468490966518058</v>
      </c>
      <c r="S125" s="108">
        <f t="shared" ca="1" si="44"/>
        <v>-85.564142455302843</v>
      </c>
      <c r="T125" s="116">
        <f t="shared" ca="1" si="45"/>
        <v>94.435857544697157</v>
      </c>
      <c r="V125" s="72">
        <f t="shared" ca="1" si="46"/>
        <v>6531.7</v>
      </c>
      <c r="W125" s="72">
        <f t="shared" si="47"/>
        <v>42663104.890000001</v>
      </c>
      <c r="Y125" s="110">
        <f t="shared" si="48"/>
        <v>11.630082104752496</v>
      </c>
      <c r="Z125" s="111">
        <f t="shared" si="49"/>
        <v>-58.502420015136018</v>
      </c>
      <c r="AA125" s="72">
        <f t="shared" si="50"/>
        <v>121.49757998486399</v>
      </c>
      <c r="AB125" s="110">
        <f t="shared" ca="1" si="51"/>
        <v>-8.1809727243890489</v>
      </c>
      <c r="AC125" s="111">
        <f t="shared" ca="1" si="52"/>
        <v>-27.061722440166847</v>
      </c>
      <c r="AD125" s="72">
        <f t="shared" ca="1" si="53"/>
        <v>152.93827755983315</v>
      </c>
    </row>
    <row r="126" spans="1:30">
      <c r="A126" s="118">
        <v>6606.9</v>
      </c>
      <c r="B126" s="101">
        <f t="shared" ca="1" si="27"/>
        <v>338.80830553998823</v>
      </c>
      <c r="C126" s="102">
        <f t="shared" ca="1" si="28"/>
        <v>1.5678448010041546</v>
      </c>
      <c r="D126" s="102">
        <f t="shared" si="29"/>
        <v>8.8366326900583392</v>
      </c>
      <c r="E126" s="103">
        <f t="shared" si="30"/>
        <v>1.4573881059597265</v>
      </c>
      <c r="F126" s="101">
        <f t="shared" si="31"/>
        <v>498.14952721854473</v>
      </c>
      <c r="G126" s="104">
        <f t="shared" si="32"/>
        <v>1.5687888960597645</v>
      </c>
      <c r="H126" s="113">
        <f t="shared" si="33"/>
        <v>1.1780226755749836</v>
      </c>
      <c r="I126" s="114">
        <f t="shared" si="34"/>
        <v>0.5569333354686351</v>
      </c>
      <c r="J126" s="101">
        <f t="shared" si="35"/>
        <v>1.000008616350083</v>
      </c>
      <c r="K126" s="104">
        <f t="shared" si="36"/>
        <v>4.1512138503226456E-3</v>
      </c>
      <c r="L126" s="102">
        <f t="shared" si="37"/>
        <v>1</v>
      </c>
      <c r="M126" s="103">
        <f t="shared" si="38"/>
        <v>2.179399790324925E-10</v>
      </c>
      <c r="N126" s="101">
        <f t="shared" si="39"/>
        <v>1</v>
      </c>
      <c r="O126" s="104">
        <f t="shared" si="40"/>
        <v>3.4870396645198798E-11</v>
      </c>
      <c r="P126" s="105">
        <f t="shared" ca="1" si="41"/>
        <v>1.0656161340919665</v>
      </c>
      <c r="Q126" s="106">
        <f t="shared" ca="1" si="42"/>
        <v>0.36442766617534866</v>
      </c>
      <c r="R126" s="107">
        <f t="shared" ca="1" si="43"/>
        <v>-12.553407304646553</v>
      </c>
      <c r="S126" s="108">
        <f t="shared" ca="1" si="44"/>
        <v>-85.421769873974156</v>
      </c>
      <c r="T126" s="116">
        <f t="shared" ca="1" si="45"/>
        <v>94.578230126025844</v>
      </c>
      <c r="V126" s="72">
        <f t="shared" ca="1" si="46"/>
        <v>6606.9</v>
      </c>
      <c r="W126" s="72">
        <f t="shared" si="47"/>
        <v>43651127.609999992</v>
      </c>
      <c r="Y126" s="110">
        <f t="shared" si="48"/>
        <v>11.558203367221317</v>
      </c>
      <c r="Z126" s="111">
        <f t="shared" si="49"/>
        <v>-58.212900188224204</v>
      </c>
      <c r="AA126" s="72">
        <f t="shared" si="50"/>
        <v>121.78709981177579</v>
      </c>
      <c r="AB126" s="110">
        <f t="shared" ca="1" si="51"/>
        <v>-8.1940103249863672</v>
      </c>
      <c r="AC126" s="111">
        <f t="shared" ca="1" si="52"/>
        <v>-27.208869685749939</v>
      </c>
      <c r="AD126" s="72">
        <f t="shared" ca="1" si="53"/>
        <v>152.79113031425007</v>
      </c>
    </row>
    <row r="127" spans="1:30">
      <c r="A127" s="118">
        <v>6683.85</v>
      </c>
      <c r="B127" s="101">
        <f t="shared" ca="1" si="27"/>
        <v>342.75434275851813</v>
      </c>
      <c r="C127" s="102">
        <f t="shared" ca="1" si="28"/>
        <v>1.5678787812121564</v>
      </c>
      <c r="D127" s="102">
        <f t="shared" si="29"/>
        <v>8.938241660964124</v>
      </c>
      <c r="E127" s="103">
        <f t="shared" si="30"/>
        <v>1.4586827789552155</v>
      </c>
      <c r="F127" s="101">
        <f t="shared" si="31"/>
        <v>503.95140896898363</v>
      </c>
      <c r="G127" s="104">
        <f t="shared" si="32"/>
        <v>1.568812007198886</v>
      </c>
      <c r="H127" s="113">
        <f t="shared" si="33"/>
        <v>1.1818722055769606</v>
      </c>
      <c r="I127" s="114">
        <f t="shared" si="34"/>
        <v>0.56214237370789188</v>
      </c>
      <c r="J127" s="101">
        <f t="shared" si="35"/>
        <v>1.0000088182257931</v>
      </c>
      <c r="K127" s="104">
        <f t="shared" si="36"/>
        <v>4.199562118289763E-3</v>
      </c>
      <c r="L127" s="102">
        <f t="shared" si="37"/>
        <v>1</v>
      </c>
      <c r="M127" s="103">
        <f t="shared" si="38"/>
        <v>2.2047830735387628E-10</v>
      </c>
      <c r="N127" s="101">
        <f t="shared" si="39"/>
        <v>1</v>
      </c>
      <c r="O127" s="104">
        <f t="shared" si="40"/>
        <v>3.5276529176620205E-11</v>
      </c>
      <c r="P127" s="105">
        <f t="shared" ca="1" si="41"/>
        <v>1.0671053279741671</v>
      </c>
      <c r="Q127" s="106">
        <f t="shared" ca="1" si="42"/>
        <v>0.36833493958491742</v>
      </c>
      <c r="R127" s="107">
        <f t="shared" ca="1" si="43"/>
        <v>-12.639053095431439</v>
      </c>
      <c r="S127" s="108">
        <f t="shared" ca="1" si="44"/>
        <v>-85.279046189476318</v>
      </c>
      <c r="T127" s="116">
        <f t="shared" ca="1" si="45"/>
        <v>94.720953810523682</v>
      </c>
      <c r="V127" s="72">
        <f t="shared" ca="1" si="46"/>
        <v>6683.85</v>
      </c>
      <c r="W127" s="72">
        <f t="shared" si="47"/>
        <v>44673850.822500005</v>
      </c>
      <c r="Y127" s="110">
        <f t="shared" si="48"/>
        <v>11.485960170995639</v>
      </c>
      <c r="Z127" s="111">
        <f t="shared" si="49"/>
        <v>-57.918538603766706</v>
      </c>
      <c r="AA127" s="72">
        <f t="shared" si="50"/>
        <v>122.08146139623329</v>
      </c>
      <c r="AB127" s="110">
        <f t="shared" ca="1" si="51"/>
        <v>-8.2074129195455754</v>
      </c>
      <c r="AC127" s="111">
        <f t="shared" ca="1" si="52"/>
        <v>-27.360507585709588</v>
      </c>
      <c r="AD127" s="72">
        <f t="shared" ca="1" si="53"/>
        <v>152.6394924142904</v>
      </c>
    </row>
    <row r="128" spans="1:30">
      <c r="A128" s="118">
        <v>6760.8</v>
      </c>
      <c r="B128" s="101">
        <f t="shared" ca="1" si="27"/>
        <v>346.70038036380197</v>
      </c>
      <c r="C128" s="102">
        <f t="shared" ca="1" si="28"/>
        <v>1.5679119879155436</v>
      </c>
      <c r="D128" s="102">
        <f t="shared" si="29"/>
        <v>9.0398652771407413</v>
      </c>
      <c r="E128" s="103">
        <f t="shared" si="30"/>
        <v>1.4599483453350279</v>
      </c>
      <c r="F128" s="101">
        <f t="shared" si="31"/>
        <v>509.75329098246823</v>
      </c>
      <c r="G128" s="104">
        <f t="shared" si="32"/>
        <v>1.5688345922478311</v>
      </c>
      <c r="H128" s="113">
        <f t="shared" si="33"/>
        <v>1.1857535958644196</v>
      </c>
      <c r="I128" s="114">
        <f t="shared" si="34"/>
        <v>0.56731744956218255</v>
      </c>
      <c r="J128" s="101">
        <f t="shared" si="35"/>
        <v>1.0000090224390779</v>
      </c>
      <c r="K128" s="104">
        <f t="shared" si="36"/>
        <v>4.2479103666233564E-3</v>
      </c>
      <c r="L128" s="102">
        <f t="shared" si="37"/>
        <v>1</v>
      </c>
      <c r="M128" s="103">
        <f t="shared" si="38"/>
        <v>2.2301663567526003E-10</v>
      </c>
      <c r="N128" s="101">
        <f t="shared" si="39"/>
        <v>1</v>
      </c>
      <c r="O128" s="104">
        <f t="shared" si="40"/>
        <v>3.5682661708041606E-11</v>
      </c>
      <c r="P128" s="105">
        <f t="shared" ca="1" si="41"/>
        <v>1.0686096644132312</v>
      </c>
      <c r="Q128" s="106">
        <f t="shared" ca="1" si="42"/>
        <v>0.37223166640298416</v>
      </c>
      <c r="R128" s="107">
        <f t="shared" ca="1" si="43"/>
        <v>-12.72346965054737</v>
      </c>
      <c r="S128" s="108">
        <f t="shared" ca="1" si="44"/>
        <v>-85.139257354933875</v>
      </c>
      <c r="T128" s="116">
        <f t="shared" ca="1" si="45"/>
        <v>94.860742645066125</v>
      </c>
      <c r="V128" s="72">
        <f t="shared" ca="1" si="46"/>
        <v>6760.8</v>
      </c>
      <c r="W128" s="72">
        <f t="shared" si="47"/>
        <v>45708416.640000001</v>
      </c>
      <c r="Y128" s="110">
        <f t="shared" si="48"/>
        <v>11.415009526981095</v>
      </c>
      <c r="Z128" s="111">
        <f t="shared" si="49"/>
        <v>-57.626092776760466</v>
      </c>
      <c r="AA128" s="72">
        <f t="shared" si="50"/>
        <v>122.37390722323954</v>
      </c>
      <c r="AB128" s="110">
        <f t="shared" ca="1" si="51"/>
        <v>-8.2208788306469618</v>
      </c>
      <c r="AC128" s="111">
        <f t="shared" ca="1" si="52"/>
        <v>-27.513164578173416</v>
      </c>
      <c r="AD128" s="72">
        <f t="shared" ca="1" si="53"/>
        <v>152.48683542182658</v>
      </c>
    </row>
    <row r="129" spans="1:30">
      <c r="A129" s="118">
        <v>6839.55</v>
      </c>
      <c r="B129" s="101">
        <f t="shared" ca="1" si="27"/>
        <v>350.73872332911827</v>
      </c>
      <c r="C129" s="102">
        <f t="shared" ca="1" si="28"/>
        <v>1.5679451977683314</v>
      </c>
      <c r="D129" s="102">
        <f t="shared" si="29"/>
        <v>9.1438807075717161</v>
      </c>
      <c r="E129" s="103">
        <f t="shared" si="30"/>
        <v>1.4612143881951047</v>
      </c>
      <c r="F129" s="101">
        <f t="shared" si="31"/>
        <v>515.69088979736318</v>
      </c>
      <c r="G129" s="104">
        <f t="shared" si="32"/>
        <v>1.5688571794364692</v>
      </c>
      <c r="H129" s="113">
        <f t="shared" si="33"/>
        <v>1.1897584404381185</v>
      </c>
      <c r="I129" s="114">
        <f t="shared" si="34"/>
        <v>0.57257847556099362</v>
      </c>
      <c r="J129" s="101">
        <f t="shared" si="35"/>
        <v>1.0000092338495146</v>
      </c>
      <c r="K129" s="104">
        <f t="shared" si="36"/>
        <v>4.2973895475707175E-3</v>
      </c>
      <c r="L129" s="102">
        <f t="shared" si="37"/>
        <v>1</v>
      </c>
      <c r="M129" s="103">
        <f t="shared" si="38"/>
        <v>2.2561434009772879E-10</v>
      </c>
      <c r="N129" s="101">
        <f t="shared" si="39"/>
        <v>1</v>
      </c>
      <c r="O129" s="104">
        <f t="shared" si="40"/>
        <v>3.6098294415636603E-11</v>
      </c>
      <c r="P129" s="105">
        <f t="shared" ca="1" si="41"/>
        <v>1.0701648017491772</v>
      </c>
      <c r="Q129" s="106">
        <f t="shared" ca="1" si="42"/>
        <v>0.37620856097804001</v>
      </c>
      <c r="R129" s="107">
        <f t="shared" ca="1" si="43"/>
        <v>-12.808620431964714</v>
      </c>
      <c r="S129" s="108">
        <f t="shared" ca="1" si="44"/>
        <v>-84.999175014387532</v>
      </c>
      <c r="T129" s="116">
        <f t="shared" ca="1" si="45"/>
        <v>95.000824985612468</v>
      </c>
      <c r="V129" s="72">
        <f t="shared" ca="1" si="46"/>
        <v>6839.55</v>
      </c>
      <c r="W129" s="72">
        <f t="shared" si="47"/>
        <v>46779444.202500001</v>
      </c>
      <c r="Y129" s="110">
        <f t="shared" si="48"/>
        <v>11.343706154317365</v>
      </c>
      <c r="Z129" s="111">
        <f t="shared" si="49"/>
        <v>-57.328787289477333</v>
      </c>
      <c r="AA129" s="72">
        <f t="shared" si="50"/>
        <v>122.67121271052267</v>
      </c>
      <c r="AB129" s="110">
        <f t="shared" ca="1" si="51"/>
        <v>-8.2347262394005742</v>
      </c>
      <c r="AC129" s="111">
        <f t="shared" ca="1" si="52"/>
        <v>-27.670387724910171</v>
      </c>
      <c r="AD129" s="72">
        <f t="shared" ca="1" si="53"/>
        <v>152.32961227508983</v>
      </c>
    </row>
    <row r="130" spans="1:30">
      <c r="A130" s="118">
        <v>6918.3</v>
      </c>
      <c r="B130" s="101">
        <f t="shared" ca="1" si="27"/>
        <v>354.77706667245593</v>
      </c>
      <c r="C130" s="102">
        <f t="shared" ca="1" si="28"/>
        <v>1.567977651581373</v>
      </c>
      <c r="D130" s="102">
        <f t="shared" si="29"/>
        <v>9.2479104646968029</v>
      </c>
      <c r="E130" s="103">
        <f t="shared" si="30"/>
        <v>1.4624519495661688</v>
      </c>
      <c r="F130" s="101">
        <f t="shared" si="31"/>
        <v>521.62848886936422</v>
      </c>
      <c r="G130" s="104">
        <f t="shared" si="32"/>
        <v>1.5688792524136703</v>
      </c>
      <c r="H130" s="113">
        <f t="shared" si="33"/>
        <v>1.1937959941402103</v>
      </c>
      <c r="I130" s="114">
        <f t="shared" si="34"/>
        <v>0.57780405860885908</v>
      </c>
      <c r="J130" s="101">
        <f t="shared" si="35"/>
        <v>1.000009447708162</v>
      </c>
      <c r="K130" s="104">
        <f t="shared" si="36"/>
        <v>4.3468687074763104E-3</v>
      </c>
      <c r="L130" s="102">
        <f t="shared" si="37"/>
        <v>1</v>
      </c>
      <c r="M130" s="103">
        <f t="shared" si="38"/>
        <v>2.2821204452019752E-10</v>
      </c>
      <c r="N130" s="101">
        <f t="shared" si="39"/>
        <v>1</v>
      </c>
      <c r="O130" s="104">
        <f t="shared" si="40"/>
        <v>3.6513927123231601E-11</v>
      </c>
      <c r="P130" s="105">
        <f t="shared" ca="1" si="41"/>
        <v>1.0717356634512358</v>
      </c>
      <c r="Q130" s="106">
        <f t="shared" ca="1" si="42"/>
        <v>0.38017428102209405</v>
      </c>
      <c r="R130" s="107">
        <f t="shared" ca="1" si="43"/>
        <v>-12.892548237076323</v>
      </c>
      <c r="S130" s="108">
        <f t="shared" ca="1" si="44"/>
        <v>-84.862042239760015</v>
      </c>
      <c r="T130" s="116">
        <f t="shared" ca="1" si="45"/>
        <v>95.137957760239985</v>
      </c>
      <c r="V130" s="72">
        <f t="shared" ca="1" si="46"/>
        <v>6918.3</v>
      </c>
      <c r="W130" s="72">
        <f t="shared" si="47"/>
        <v>47862874.890000001</v>
      </c>
      <c r="Y130" s="110">
        <f t="shared" si="48"/>
        <v>11.27369388740237</v>
      </c>
      <c r="Z130" s="111">
        <f t="shared" si="49"/>
        <v>-57.033483070348439</v>
      </c>
      <c r="AA130" s="72">
        <f t="shared" si="50"/>
        <v>122.96651692965156</v>
      </c>
      <c r="AB130" s="110">
        <f t="shared" ca="1" si="51"/>
        <v>-8.2486417775971894</v>
      </c>
      <c r="AC130" s="111">
        <f t="shared" ca="1" si="52"/>
        <v>-27.828559169411633</v>
      </c>
      <c r="AD130" s="72">
        <f t="shared" ca="1" si="53"/>
        <v>152.17144083058838</v>
      </c>
    </row>
    <row r="131" spans="1:30">
      <c r="A131" s="118">
        <v>6998.9</v>
      </c>
      <c r="B131" s="101">
        <f t="shared" ca="1" si="27"/>
        <v>358.91027941214764</v>
      </c>
      <c r="C131" s="102">
        <f t="shared" ca="1" si="28"/>
        <v>1.5680101115450251</v>
      </c>
      <c r="D131" s="102">
        <f t="shared" si="29"/>
        <v>9.3543984321437943</v>
      </c>
      <c r="E131" s="103">
        <f t="shared" si="30"/>
        <v>1.4636900786120848</v>
      </c>
      <c r="F131" s="101">
        <f t="shared" si="31"/>
        <v>527.70557465293507</v>
      </c>
      <c r="G131" s="104">
        <f t="shared" si="32"/>
        <v>1.5689013295719465</v>
      </c>
      <c r="H131" s="113">
        <f t="shared" si="33"/>
        <v>1.1979619239043715</v>
      </c>
      <c r="I131" s="114">
        <f t="shared" si="34"/>
        <v>0.58311577745103771</v>
      </c>
      <c r="J131" s="101">
        <f t="shared" si="35"/>
        <v>1.0000096691259457</v>
      </c>
      <c r="K131" s="104">
        <f t="shared" si="36"/>
        <v>4.3975102129060724E-3</v>
      </c>
      <c r="L131" s="102">
        <f t="shared" si="37"/>
        <v>1</v>
      </c>
      <c r="M131" s="103">
        <f t="shared" si="38"/>
        <v>2.3087077437989251E-10</v>
      </c>
      <c r="N131" s="101">
        <f t="shared" si="39"/>
        <v>1</v>
      </c>
      <c r="O131" s="104">
        <f t="shared" si="40"/>
        <v>3.6939323900782802E-11</v>
      </c>
      <c r="P131" s="105">
        <f t="shared" ca="1" si="41"/>
        <v>1.0733596390762317</v>
      </c>
      <c r="Q131" s="106">
        <f t="shared" ca="1" si="42"/>
        <v>0.38422152728629649</v>
      </c>
      <c r="R131" s="107">
        <f t="shared" ca="1" si="43"/>
        <v>-12.977213582989066</v>
      </c>
      <c r="S131" s="108">
        <f t="shared" ca="1" si="44"/>
        <v>-84.724680020066145</v>
      </c>
      <c r="T131" s="116">
        <f t="shared" ca="1" si="45"/>
        <v>95.275319979933855</v>
      </c>
      <c r="V131" s="72">
        <f t="shared" ca="1" si="46"/>
        <v>6998.9</v>
      </c>
      <c r="W131" s="72">
        <f t="shared" si="47"/>
        <v>48984601.209999993</v>
      </c>
      <c r="Y131" s="110">
        <f t="shared" si="48"/>
        <v>11.203342319873183</v>
      </c>
      <c r="Z131" s="111">
        <f t="shared" si="49"/>
        <v>-56.733310470782712</v>
      </c>
      <c r="AA131" s="72">
        <f t="shared" si="50"/>
        <v>123.26668952921729</v>
      </c>
      <c r="AB131" s="110">
        <f t="shared" ca="1" si="51"/>
        <v>-8.2629555559807475</v>
      </c>
      <c r="AC131" s="111">
        <f t="shared" ca="1" si="52"/>
        <v>-27.991369549283426</v>
      </c>
      <c r="AD131" s="72">
        <f t="shared" ca="1" si="53"/>
        <v>152.00863045071657</v>
      </c>
    </row>
    <row r="132" spans="1:30">
      <c r="A132" s="118">
        <v>7079.5</v>
      </c>
      <c r="B132" s="101">
        <f t="shared" ca="1" si="27"/>
        <v>363.04349252139428</v>
      </c>
      <c r="C132" s="102">
        <f t="shared" ca="1" si="28"/>
        <v>1.5680418324019636</v>
      </c>
      <c r="D132" s="102">
        <f t="shared" si="29"/>
        <v>9.4609004167207296</v>
      </c>
      <c r="E132" s="103">
        <f t="shared" si="30"/>
        <v>1.4649003340767655</v>
      </c>
      <c r="F132" s="101">
        <f t="shared" si="31"/>
        <v>533.78266068785354</v>
      </c>
      <c r="G132" s="104">
        <f t="shared" si="32"/>
        <v>1.5689229040357839</v>
      </c>
      <c r="H132" s="113">
        <f t="shared" si="33"/>
        <v>1.2021614185830845</v>
      </c>
      <c r="I132" s="114">
        <f t="shared" si="34"/>
        <v>0.58839053353971127</v>
      </c>
      <c r="J132" s="101">
        <f t="shared" si="35"/>
        <v>1.000009893108315</v>
      </c>
      <c r="K132" s="104">
        <f t="shared" si="36"/>
        <v>4.4481516957803223E-3</v>
      </c>
      <c r="L132" s="102">
        <f t="shared" si="37"/>
        <v>1</v>
      </c>
      <c r="M132" s="103">
        <f t="shared" si="38"/>
        <v>2.3352950423958753E-10</v>
      </c>
      <c r="N132" s="101">
        <f t="shared" si="39"/>
        <v>1</v>
      </c>
      <c r="O132" s="104">
        <f t="shared" si="40"/>
        <v>3.7364720678334003E-11</v>
      </c>
      <c r="P132" s="105">
        <f t="shared" ca="1" si="41"/>
        <v>1.0749999406929702</v>
      </c>
      <c r="Q132" s="106">
        <f t="shared" ca="1" si="42"/>
        <v>0.38825693691189311</v>
      </c>
      <c r="R132" s="107">
        <f t="shared" ca="1" si="43"/>
        <v>-13.060662340108838</v>
      </c>
      <c r="S132" s="108">
        <f t="shared" ca="1" si="44"/>
        <v>-84.590283308022194</v>
      </c>
      <c r="T132" s="116">
        <f t="shared" ca="1" si="45"/>
        <v>95.409716691977806</v>
      </c>
      <c r="V132" s="72">
        <f t="shared" ca="1" si="46"/>
        <v>7079.5</v>
      </c>
      <c r="W132" s="72">
        <f t="shared" si="47"/>
        <v>50119320.25</v>
      </c>
      <c r="Y132" s="110">
        <f t="shared" si="48"/>
        <v>11.134280198173371</v>
      </c>
      <c r="Z132" s="111">
        <f t="shared" si="49"/>
        <v>-56.435226877432335</v>
      </c>
      <c r="AA132" s="72">
        <f t="shared" si="50"/>
        <v>123.56477312256766</v>
      </c>
      <c r="AB132" s="110">
        <f t="shared" ca="1" si="51"/>
        <v>-8.2773421914007024</v>
      </c>
      <c r="AC132" s="111">
        <f t="shared" ca="1" si="52"/>
        <v>-28.155056430589884</v>
      </c>
      <c r="AD132" s="72">
        <f t="shared" ca="1" si="53"/>
        <v>151.84494356941011</v>
      </c>
    </row>
    <row r="133" spans="1:30">
      <c r="A133" s="118">
        <v>7161.95</v>
      </c>
      <c r="B133" s="101">
        <f t="shared" ca="1" si="27"/>
        <v>367.27157503539411</v>
      </c>
      <c r="C133" s="102">
        <f t="shared" ca="1" si="28"/>
        <v>1.5680735426112935</v>
      </c>
      <c r="D133" s="102">
        <f t="shared" si="29"/>
        <v>9.5698609412532214</v>
      </c>
      <c r="E133" s="103">
        <f t="shared" si="30"/>
        <v>1.466110494392515</v>
      </c>
      <c r="F133" s="101">
        <f t="shared" si="31"/>
        <v>539.99923344005424</v>
      </c>
      <c r="G133" s="104">
        <f t="shared" si="32"/>
        <v>1.5689444712557854</v>
      </c>
      <c r="H133" s="113">
        <f t="shared" si="33"/>
        <v>1.2064916675762869</v>
      </c>
      <c r="I133" s="114">
        <f t="shared" si="34"/>
        <v>0.59374821330618521</v>
      </c>
      <c r="J133" s="101">
        <f t="shared" si="35"/>
        <v>1.0000101248852753</v>
      </c>
      <c r="K133" s="104">
        <f t="shared" si="36"/>
        <v>4.4999555215881511E-3</v>
      </c>
      <c r="L133" s="102">
        <f t="shared" si="37"/>
        <v>1</v>
      </c>
      <c r="M133" s="103">
        <f t="shared" si="38"/>
        <v>2.3624925953650878E-10</v>
      </c>
      <c r="N133" s="101">
        <f t="shared" si="39"/>
        <v>1</v>
      </c>
      <c r="O133" s="104">
        <f t="shared" si="40"/>
        <v>3.7799881525841401E-11</v>
      </c>
      <c r="P133" s="105">
        <f t="shared" ca="1" si="41"/>
        <v>1.0766947069255639</v>
      </c>
      <c r="Q133" s="106">
        <f t="shared" ca="1" si="42"/>
        <v>0.39237265723123937</v>
      </c>
      <c r="R133" s="107">
        <f t="shared" ca="1" si="43"/>
        <v>-13.144800012592626</v>
      </c>
      <c r="S133" s="108">
        <f t="shared" ca="1" si="44"/>
        <v>-84.455807906889589</v>
      </c>
      <c r="T133" s="116">
        <f t="shared" ca="1" si="45"/>
        <v>95.544192093110411</v>
      </c>
      <c r="V133" s="72">
        <f t="shared" ca="1" si="46"/>
        <v>7161.95</v>
      </c>
      <c r="W133" s="72">
        <f t="shared" si="47"/>
        <v>51293527.802499995</v>
      </c>
      <c r="Y133" s="110">
        <f t="shared" si="48"/>
        <v>11.064935381104428</v>
      </c>
      <c r="Z133" s="111">
        <f t="shared" si="49"/>
        <v>-56.132458289617212</v>
      </c>
      <c r="AA133" s="72">
        <f t="shared" si="50"/>
        <v>123.8675417103828</v>
      </c>
      <c r="AB133" s="110">
        <f t="shared" ca="1" si="51"/>
        <v>-8.2921350468155488</v>
      </c>
      <c r="AC133" s="111">
        <f t="shared" ca="1" si="52"/>
        <v>-28.323349617272378</v>
      </c>
      <c r="AD133" s="72">
        <f t="shared" ca="1" si="53"/>
        <v>151.67665038272762</v>
      </c>
    </row>
    <row r="134" spans="1:30">
      <c r="A134" s="118">
        <v>7244.4</v>
      </c>
      <c r="B134" s="101">
        <f t="shared" ca="1" si="27"/>
        <v>371.49965791029308</v>
      </c>
      <c r="C134" s="102">
        <f t="shared" ca="1" si="28"/>
        <v>1.5681045310251414</v>
      </c>
      <c r="D134" s="102">
        <f t="shared" si="29"/>
        <v>9.678835165170792</v>
      </c>
      <c r="E134" s="103">
        <f t="shared" si="30"/>
        <v>1.4672934059635625</v>
      </c>
      <c r="F134" s="101">
        <f t="shared" si="31"/>
        <v>546.2158064377154</v>
      </c>
      <c r="G134" s="104">
        <f t="shared" si="32"/>
        <v>1.5689655475555564</v>
      </c>
      <c r="H134" s="113">
        <f t="shared" si="33"/>
        <v>1.210856300311377</v>
      </c>
      <c r="I134" s="114">
        <f t="shared" si="34"/>
        <v>0.59906742043734973</v>
      </c>
      <c r="J134" s="101">
        <f t="shared" si="35"/>
        <v>1.0000103593458975</v>
      </c>
      <c r="K134" s="104">
        <f t="shared" si="36"/>
        <v>4.5517593232433391E-3</v>
      </c>
      <c r="L134" s="102">
        <f t="shared" si="37"/>
        <v>1</v>
      </c>
      <c r="M134" s="103">
        <f t="shared" si="38"/>
        <v>2.3896901483343003E-10</v>
      </c>
      <c r="N134" s="101">
        <f t="shared" si="39"/>
        <v>1</v>
      </c>
      <c r="O134" s="104">
        <f t="shared" si="40"/>
        <v>3.8235042373348799E-11</v>
      </c>
      <c r="P134" s="105">
        <f t="shared" ca="1" si="41"/>
        <v>1.078406399817633</v>
      </c>
      <c r="Q134" s="106">
        <f t="shared" ca="1" si="42"/>
        <v>0.39647585887403031</v>
      </c>
      <c r="R134" s="107">
        <f t="shared" ca="1" si="43"/>
        <v>-13.227729129295165</v>
      </c>
      <c r="S134" s="108">
        <f t="shared" ca="1" si="44"/>
        <v>-84.324311311251179</v>
      </c>
      <c r="T134" s="116">
        <f t="shared" ca="1" si="45"/>
        <v>95.675688688748821</v>
      </c>
      <c r="V134" s="72">
        <f t="shared" ca="1" si="46"/>
        <v>7244.4</v>
      </c>
      <c r="W134" s="72">
        <f t="shared" si="47"/>
        <v>52481331.359999992</v>
      </c>
      <c r="Y134" s="110">
        <f t="shared" si="48"/>
        <v>10.996876517373765</v>
      </c>
      <c r="Z134" s="111">
        <f t="shared" si="49"/>
        <v>-55.831865892393417</v>
      </c>
      <c r="AA134" s="72">
        <f t="shared" si="50"/>
        <v>124.16813410760659</v>
      </c>
      <c r="AB134" s="110">
        <f t="shared" ca="1" si="51"/>
        <v>-8.3070052997874271</v>
      </c>
      <c r="AC134" s="111">
        <f t="shared" ca="1" si="52"/>
        <v>-28.492445418857734</v>
      </c>
      <c r="AD134" s="72">
        <f t="shared" ca="1" si="53"/>
        <v>151.50755458114227</v>
      </c>
    </row>
    <row r="135" spans="1:30">
      <c r="A135" s="118">
        <v>7328.75</v>
      </c>
      <c r="B135" s="101">
        <f t="shared" ca="1" si="27"/>
        <v>375.82517422615803</v>
      </c>
      <c r="C135" s="102">
        <f t="shared" ca="1" si="28"/>
        <v>1.5681355120103382</v>
      </c>
      <c r="D135" s="102">
        <f t="shared" si="29"/>
        <v>9.7903343199811701</v>
      </c>
      <c r="E135" s="103">
        <f t="shared" si="30"/>
        <v>1.4684763244304897</v>
      </c>
      <c r="F135" s="101">
        <f t="shared" si="31"/>
        <v>552.57563606274402</v>
      </c>
      <c r="G135" s="104">
        <f t="shared" si="32"/>
        <v>1.568986618800954</v>
      </c>
      <c r="H135" s="113">
        <f t="shared" si="33"/>
        <v>1.2153567079065115</v>
      </c>
      <c r="I135" s="114">
        <f t="shared" si="34"/>
        <v>0.60446951221160361</v>
      </c>
      <c r="J135" s="101">
        <f t="shared" si="35"/>
        <v>1.0000106019866313</v>
      </c>
      <c r="K135" s="104">
        <f t="shared" si="36"/>
        <v>4.6047568803684108E-3</v>
      </c>
      <c r="L135" s="102">
        <f t="shared" si="37"/>
        <v>1</v>
      </c>
      <c r="M135" s="103">
        <f t="shared" si="38"/>
        <v>2.4175144490371875E-10</v>
      </c>
      <c r="N135" s="101">
        <f t="shared" si="39"/>
        <v>1</v>
      </c>
      <c r="O135" s="104">
        <f t="shared" si="40"/>
        <v>3.8680231184595002E-11</v>
      </c>
      <c r="P135" s="105">
        <f t="shared" ca="1" si="41"/>
        <v>1.0801749702214314</v>
      </c>
      <c r="Q135" s="106">
        <f t="shared" ca="1" si="42"/>
        <v>0.40066059433229534</v>
      </c>
      <c r="R135" s="107">
        <f t="shared" ca="1" si="43"/>
        <v>-13.311350954111635</v>
      </c>
      <c r="S135" s="108">
        <f t="shared" ca="1" si="44"/>
        <v>-84.192804605709256</v>
      </c>
      <c r="T135" s="116">
        <f t="shared" ca="1" si="45"/>
        <v>95.807195394290744</v>
      </c>
      <c r="V135" s="72">
        <f t="shared" ca="1" si="46"/>
        <v>7328.75</v>
      </c>
      <c r="W135" s="72">
        <f t="shared" si="47"/>
        <v>53710576.5625</v>
      </c>
      <c r="Y135" s="110">
        <f t="shared" si="48"/>
        <v>10.928548167110081</v>
      </c>
      <c r="Z135" s="111">
        <f t="shared" si="49"/>
        <v>-55.526592662481733</v>
      </c>
      <c r="AA135" s="72">
        <f t="shared" si="50"/>
        <v>124.47340733751827</v>
      </c>
      <c r="AB135" s="110">
        <f t="shared" ca="1" si="51"/>
        <v>-8.3222987743402115</v>
      </c>
      <c r="AC135" s="111">
        <f t="shared" ca="1" si="52"/>
        <v>-28.666211943227548</v>
      </c>
      <c r="AD135" s="72">
        <f t="shared" ca="1" si="53"/>
        <v>151.33378805677245</v>
      </c>
    </row>
    <row r="136" spans="1:30">
      <c r="A136" s="118">
        <v>7413.1</v>
      </c>
      <c r="B136" s="101">
        <f t="shared" ca="1" si="27"/>
        <v>380.15069089453925</v>
      </c>
      <c r="C136" s="102">
        <f t="shared" ca="1" si="28"/>
        <v>1.5681657879658419</v>
      </c>
      <c r="D136" s="102">
        <f t="shared" si="29"/>
        <v>9.9018468658306134</v>
      </c>
      <c r="E136" s="103">
        <f t="shared" si="30"/>
        <v>1.4696326009202636</v>
      </c>
      <c r="F136" s="101">
        <f t="shared" si="31"/>
        <v>558.9354659275316</v>
      </c>
      <c r="G136" s="104">
        <f t="shared" si="32"/>
        <v>1.569007210529336</v>
      </c>
      <c r="H136" s="113">
        <f t="shared" si="33"/>
        <v>1.2198923204731706</v>
      </c>
      <c r="I136" s="114">
        <f t="shared" si="34"/>
        <v>0.60983158907720902</v>
      </c>
      <c r="J136" s="101">
        <f t="shared" si="35"/>
        <v>1.0000108474361342</v>
      </c>
      <c r="K136" s="104">
        <f t="shared" si="36"/>
        <v>4.6577544116261733E-3</v>
      </c>
      <c r="L136" s="102">
        <f t="shared" si="37"/>
        <v>1</v>
      </c>
      <c r="M136" s="103">
        <f t="shared" si="38"/>
        <v>2.4453387497400753E-10</v>
      </c>
      <c r="N136" s="101">
        <f t="shared" si="39"/>
        <v>1</v>
      </c>
      <c r="O136" s="104">
        <f t="shared" si="40"/>
        <v>3.9125419995841205E-11</v>
      </c>
      <c r="P136" s="105">
        <f t="shared" ca="1" si="41"/>
        <v>1.0819610866653149</v>
      </c>
      <c r="Q136" s="106">
        <f t="shared" ca="1" si="42"/>
        <v>0.40483209409854426</v>
      </c>
      <c r="R136" s="107">
        <f t="shared" ca="1" si="43"/>
        <v>-13.393772397042964</v>
      </c>
      <c r="S136" s="108">
        <f t="shared" ca="1" si="44"/>
        <v>-84.064290838102153</v>
      </c>
      <c r="T136" s="116">
        <f t="shared" ca="1" si="45"/>
        <v>95.935709161897847</v>
      </c>
      <c r="V136" s="72">
        <f t="shared" ca="1" si="46"/>
        <v>7413.1</v>
      </c>
      <c r="W136" s="72">
        <f t="shared" si="47"/>
        <v>54954051.610000007</v>
      </c>
      <c r="Y136" s="110">
        <f t="shared" si="48"/>
        <v>10.861502028091145</v>
      </c>
      <c r="Z136" s="111">
        <f t="shared" si="49"/>
        <v>-55.223584642172504</v>
      </c>
      <c r="AA136" s="72">
        <f t="shared" si="50"/>
        <v>124.77641535782749</v>
      </c>
      <c r="AB136" s="110">
        <f t="shared" ca="1" si="51"/>
        <v>-8.3376740782526078</v>
      </c>
      <c r="AC136" s="111">
        <f t="shared" ca="1" si="52"/>
        <v>-28.840706195929659</v>
      </c>
      <c r="AD136" s="72">
        <f t="shared" ca="1" si="53"/>
        <v>151.15929380407033</v>
      </c>
    </row>
    <row r="137" spans="1:30">
      <c r="A137" s="118">
        <v>7499.45</v>
      </c>
      <c r="B137" s="101">
        <f t="shared" ca="1" si="27"/>
        <v>384.57876906961746</v>
      </c>
      <c r="C137" s="102">
        <f t="shared" ca="1" si="28"/>
        <v>1.5681960763200617</v>
      </c>
      <c r="D137" s="102">
        <f t="shared" si="29"/>
        <v>10.016016859557238</v>
      </c>
      <c r="E137" s="103">
        <f t="shared" si="30"/>
        <v>1.4707896224115111</v>
      </c>
      <c r="F137" s="101">
        <f t="shared" si="31"/>
        <v>565.44609223530369</v>
      </c>
      <c r="G137" s="104">
        <f t="shared" si="32"/>
        <v>1.5690278106887514</v>
      </c>
      <c r="H137" s="113">
        <f t="shared" si="33"/>
        <v>1.224571534267302</v>
      </c>
      <c r="I137" s="114">
        <f t="shared" si="34"/>
        <v>0.61527949952343408</v>
      </c>
      <c r="J137" s="101">
        <f t="shared" si="35"/>
        <v>1.0000111016148781</v>
      </c>
      <c r="K137" s="104">
        <f t="shared" si="36"/>
        <v>4.7120085258854343E-3</v>
      </c>
      <c r="L137" s="102">
        <f t="shared" si="37"/>
        <v>1</v>
      </c>
      <c r="M137" s="103">
        <f t="shared" si="38"/>
        <v>2.4738227848994628E-10</v>
      </c>
      <c r="N137" s="101">
        <f t="shared" si="39"/>
        <v>1</v>
      </c>
      <c r="O137" s="104">
        <f t="shared" si="40"/>
        <v>3.9581164558391401E-11</v>
      </c>
      <c r="P137" s="105">
        <f t="shared" ca="1" si="41"/>
        <v>1.0838076381872888</v>
      </c>
      <c r="Q137" s="106">
        <f t="shared" ca="1" si="42"/>
        <v>0.40908872593226503</v>
      </c>
      <c r="R137" s="107">
        <f t="shared" ca="1" si="43"/>
        <v>-13.476937054882468</v>
      </c>
      <c r="S137" s="108">
        <f t="shared" ca="1" si="44"/>
        <v>-83.935767381668398</v>
      </c>
      <c r="T137" s="116">
        <f t="shared" ca="1" si="45"/>
        <v>96.064232618331602</v>
      </c>
      <c r="V137" s="72">
        <f t="shared" ca="1" si="46"/>
        <v>7499.45</v>
      </c>
      <c r="W137" s="72">
        <f t="shared" si="47"/>
        <v>56241750.302499995</v>
      </c>
      <c r="Y137" s="110">
        <f t="shared" si="48"/>
        <v>10.794162282421865</v>
      </c>
      <c r="Z137" s="111">
        <f t="shared" si="49"/>
        <v>-54.915731199909793</v>
      </c>
      <c r="AA137" s="72">
        <f t="shared" si="50"/>
        <v>125.0842688000902</v>
      </c>
      <c r="AB137" s="110">
        <f t="shared" ca="1" si="51"/>
        <v>-8.3534989904228283</v>
      </c>
      <c r="AC137" s="111">
        <f t="shared" ca="1" si="52"/>
        <v>-29.020036181758581</v>
      </c>
      <c r="AD137" s="72">
        <f t="shared" ca="1" si="53"/>
        <v>150.97996381824143</v>
      </c>
    </row>
    <row r="138" spans="1:30">
      <c r="A138" s="118">
        <v>7585.8</v>
      </c>
      <c r="B138" s="101">
        <f t="shared" ca="1" si="27"/>
        <v>389.00684758947028</v>
      </c>
      <c r="C138" s="102">
        <f t="shared" ca="1" si="28"/>
        <v>1.5682256751275225</v>
      </c>
      <c r="D138" s="102">
        <f t="shared" si="29"/>
        <v>10.130199959469618</v>
      </c>
      <c r="E138" s="103">
        <f t="shared" si="30"/>
        <v>1.4719205625270768</v>
      </c>
      <c r="F138" s="101">
        <f t="shared" si="31"/>
        <v>571.95671877756934</v>
      </c>
      <c r="G138" s="104">
        <f t="shared" si="32"/>
        <v>1.5690479418618331</v>
      </c>
      <c r="H138" s="113">
        <f t="shared" si="33"/>
        <v>1.2292868156951331</v>
      </c>
      <c r="I138" s="114">
        <f t="shared" si="34"/>
        <v>0.62068577536611558</v>
      </c>
      <c r="J138" s="101">
        <f t="shared" si="35"/>
        <v>1.0000113587371615</v>
      </c>
      <c r="K138" s="104">
        <f t="shared" si="36"/>
        <v>4.7662626124048268E-3</v>
      </c>
      <c r="L138" s="102">
        <f t="shared" si="37"/>
        <v>1</v>
      </c>
      <c r="M138" s="103">
        <f t="shared" si="38"/>
        <v>2.5023068200588502E-10</v>
      </c>
      <c r="N138" s="101">
        <f t="shared" si="39"/>
        <v>1</v>
      </c>
      <c r="O138" s="104">
        <f t="shared" si="40"/>
        <v>4.0036909120941603E-11</v>
      </c>
      <c r="P138" s="105">
        <f t="shared" ca="1" si="41"/>
        <v>1.0856723944380779</v>
      </c>
      <c r="Q138" s="106">
        <f t="shared" ca="1" si="42"/>
        <v>0.41333135301178664</v>
      </c>
      <c r="R138" s="107">
        <f t="shared" ca="1" si="43"/>
        <v>-13.558908344556887</v>
      </c>
      <c r="S138" s="108">
        <f t="shared" ca="1" si="44"/>
        <v>-83.810254971098487</v>
      </c>
      <c r="T138" s="116">
        <f t="shared" ca="1" si="45"/>
        <v>96.189745028901513</v>
      </c>
      <c r="V138" s="72">
        <f t="shared" ca="1" si="46"/>
        <v>7585.8</v>
      </c>
      <c r="W138" s="72">
        <f t="shared" si="47"/>
        <v>57544361.640000001</v>
      </c>
      <c r="Y138" s="110">
        <f t="shared" si="48"/>
        <v>10.728102147903211</v>
      </c>
      <c r="Z138" s="111">
        <f t="shared" si="49"/>
        <v>-54.610236372187558</v>
      </c>
      <c r="AA138" s="72">
        <f t="shared" si="50"/>
        <v>125.38976362781244</v>
      </c>
      <c r="AB138" s="110">
        <f t="shared" ca="1" si="51"/>
        <v>-8.3694101455785912</v>
      </c>
      <c r="AC138" s="111">
        <f t="shared" ca="1" si="52"/>
        <v>-29.200018598910908</v>
      </c>
      <c r="AD138" s="72">
        <f t="shared" ca="1" si="53"/>
        <v>150.7999814010891</v>
      </c>
    </row>
    <row r="139" spans="1:30">
      <c r="A139" s="118">
        <v>7674.15</v>
      </c>
      <c r="B139" s="101">
        <f t="shared" ca="1" si="27"/>
        <v>393.5374876241479</v>
      </c>
      <c r="C139" s="102">
        <f t="shared" ca="1" si="28"/>
        <v>1.5682552700782937</v>
      </c>
      <c r="D139" s="102">
        <f t="shared" si="29"/>
        <v>10.247040825240321</v>
      </c>
      <c r="E139" s="103">
        <f t="shared" si="30"/>
        <v>1.4730516088744681</v>
      </c>
      <c r="F139" s="101">
        <f t="shared" si="31"/>
        <v>578.61814176834753</v>
      </c>
      <c r="G139" s="104">
        <f t="shared" si="32"/>
        <v>1.5690680704102009</v>
      </c>
      <c r="H139" s="113">
        <f t="shared" si="33"/>
        <v>1.2341482095352847</v>
      </c>
      <c r="I139" s="114">
        <f t="shared" si="34"/>
        <v>0.62617434678800465</v>
      </c>
      <c r="J139" s="101">
        <f t="shared" si="35"/>
        <v>1.0000116248613891</v>
      </c>
      <c r="K139" s="104">
        <f t="shared" si="36"/>
        <v>4.8217732787166363E-3</v>
      </c>
      <c r="L139" s="102">
        <f t="shared" si="37"/>
        <v>1</v>
      </c>
      <c r="M139" s="103">
        <f t="shared" si="38"/>
        <v>2.5314505896747378E-10</v>
      </c>
      <c r="N139" s="101">
        <f t="shared" si="39"/>
        <v>1</v>
      </c>
      <c r="O139" s="104">
        <f t="shared" si="40"/>
        <v>4.0503209434795799E-11</v>
      </c>
      <c r="P139" s="105">
        <f t="shared" ca="1" si="41"/>
        <v>1.0875990863112539</v>
      </c>
      <c r="Q139" s="106">
        <f t="shared" ca="1" si="42"/>
        <v>0.41765768379653373</v>
      </c>
      <c r="R139" s="107">
        <f t="shared" ca="1" si="43"/>
        <v>-13.641575445750217</v>
      </c>
      <c r="S139" s="108">
        <f t="shared" ca="1" si="44"/>
        <v>-83.684888778929832</v>
      </c>
      <c r="T139" s="116">
        <f t="shared" ca="1" si="45"/>
        <v>96.315111221070168</v>
      </c>
      <c r="V139" s="72">
        <f t="shared" ca="1" si="46"/>
        <v>7674.15</v>
      </c>
      <c r="W139" s="72">
        <f t="shared" si="47"/>
        <v>58892578.222499996</v>
      </c>
      <c r="Y139" s="110">
        <f t="shared" si="48"/>
        <v>10.661804106757737</v>
      </c>
      <c r="Z139" s="111">
        <f t="shared" si="49"/>
        <v>-54.300098201429378</v>
      </c>
      <c r="AA139" s="72">
        <f t="shared" si="50"/>
        <v>125.69990179857062</v>
      </c>
      <c r="AB139" s="110">
        <f t="shared" ca="1" si="51"/>
        <v>-8.3857792056264486</v>
      </c>
      <c r="AC139" s="111">
        <f t="shared" ca="1" si="52"/>
        <v>-29.384790577500453</v>
      </c>
      <c r="AD139" s="72">
        <f t="shared" ca="1" si="53"/>
        <v>150.61520942249956</v>
      </c>
    </row>
    <row r="140" spans="1:30">
      <c r="A140" s="118">
        <v>7762.5</v>
      </c>
      <c r="B140" s="101">
        <f t="shared" ca="1" si="27"/>
        <v>398.06812799566364</v>
      </c>
      <c r="C140" s="102">
        <f t="shared" ca="1" si="28"/>
        <v>1.5682841913550662</v>
      </c>
      <c r="D140" s="102">
        <f t="shared" si="29"/>
        <v>10.363894504120188</v>
      </c>
      <c r="E140" s="103">
        <f t="shared" si="30"/>
        <v>1.4741571513468483</v>
      </c>
      <c r="F140" s="101">
        <f t="shared" si="31"/>
        <v>585.27956498822141</v>
      </c>
      <c r="G140" s="104">
        <f t="shared" si="32"/>
        <v>1.5690877407680384</v>
      </c>
      <c r="H140" s="113">
        <f t="shared" si="33"/>
        <v>1.2390464889840704</v>
      </c>
      <c r="I140" s="114">
        <f t="shared" si="34"/>
        <v>0.63161968561456105</v>
      </c>
      <c r="J140" s="101">
        <f t="shared" si="35"/>
        <v>1.0000118940670848</v>
      </c>
      <c r="K140" s="104">
        <f t="shared" si="36"/>
        <v>4.8772839153122787E-3</v>
      </c>
      <c r="L140" s="102">
        <f t="shared" si="37"/>
        <v>1</v>
      </c>
      <c r="M140" s="103">
        <f t="shared" si="38"/>
        <v>2.5605943592906254E-10</v>
      </c>
      <c r="N140" s="101">
        <f t="shared" si="39"/>
        <v>1</v>
      </c>
      <c r="O140" s="104">
        <f t="shared" si="40"/>
        <v>4.0969509748650001E-11</v>
      </c>
      <c r="P140" s="105">
        <f t="shared" ca="1" si="41"/>
        <v>1.0895446385017935</v>
      </c>
      <c r="Q140" s="106">
        <f t="shared" ca="1" si="42"/>
        <v>0.42196921989196712</v>
      </c>
      <c r="R140" s="107">
        <f t="shared" ca="1" si="43"/>
        <v>-13.723057891468653</v>
      </c>
      <c r="S140" s="108">
        <f t="shared" ca="1" si="44"/>
        <v>-83.562548370393984</v>
      </c>
      <c r="T140" s="116">
        <f t="shared" ca="1" si="45"/>
        <v>96.437451629606016</v>
      </c>
      <c r="V140" s="72">
        <f t="shared" ca="1" si="46"/>
        <v>7762.5</v>
      </c>
      <c r="W140" s="72">
        <f t="shared" si="47"/>
        <v>60256406.25</v>
      </c>
      <c r="Y140" s="110">
        <f t="shared" si="48"/>
        <v>10.596781151010777</v>
      </c>
      <c r="Z140" s="111">
        <f t="shared" si="49"/>
        <v>-53.992410821837737</v>
      </c>
      <c r="AA140" s="72">
        <f t="shared" si="50"/>
        <v>126.00758917816226</v>
      </c>
      <c r="AB140" s="110">
        <f t="shared" ca="1" si="51"/>
        <v>-8.4022386955979265</v>
      </c>
      <c r="AC140" s="111">
        <f t="shared" ca="1" si="52"/>
        <v>-29.570137548556239</v>
      </c>
      <c r="AD140" s="72">
        <f t="shared" ca="1" si="53"/>
        <v>150.42986245144377</v>
      </c>
    </row>
    <row r="141" spans="1:30">
      <c r="A141" s="118">
        <v>7852.9</v>
      </c>
      <c r="B141" s="101">
        <f t="shared" ca="1" si="27"/>
        <v>402.70389391915825</v>
      </c>
      <c r="C141" s="102">
        <f t="shared" ca="1" si="28"/>
        <v>1.5683131101117995</v>
      </c>
      <c r="D141" s="102">
        <f t="shared" si="29"/>
        <v>10.483472374278808</v>
      </c>
      <c r="E141" s="103">
        <f t="shared" si="30"/>
        <v>1.4752628343151557</v>
      </c>
      <c r="F141" s="101">
        <f t="shared" si="31"/>
        <v>592.09555456733301</v>
      </c>
      <c r="G141" s="104">
        <f t="shared" si="32"/>
        <v>1.5691074094103743</v>
      </c>
      <c r="H141" s="113">
        <f t="shared" si="33"/>
        <v>1.2440961489033902</v>
      </c>
      <c r="I141" s="114">
        <f t="shared" si="34"/>
        <v>0.63714682251294619</v>
      </c>
      <c r="J141" s="101">
        <f t="shared" si="35"/>
        <v>1.0000121727087508</v>
      </c>
      <c r="K141" s="104">
        <f t="shared" si="36"/>
        <v>4.9340825434867428E-3</v>
      </c>
      <c r="L141" s="102">
        <f t="shared" si="37"/>
        <v>1</v>
      </c>
      <c r="M141" s="103">
        <f t="shared" si="38"/>
        <v>2.5904143567244252E-10</v>
      </c>
      <c r="N141" s="101">
        <f t="shared" si="39"/>
        <v>1</v>
      </c>
      <c r="O141" s="104">
        <f t="shared" si="40"/>
        <v>4.1446629707590803E-11</v>
      </c>
      <c r="P141" s="105">
        <f t="shared" ca="1" si="41"/>
        <v>1.0915547509040986</v>
      </c>
      <c r="Q141" s="106">
        <f t="shared" ca="1" si="42"/>
        <v>0.42636541709436976</v>
      </c>
      <c r="R141" s="107">
        <f t="shared" ca="1" si="43"/>
        <v>-13.805237160023811</v>
      </c>
      <c r="S141" s="108">
        <f t="shared" ca="1" si="44"/>
        <v>-83.440437505664562</v>
      </c>
      <c r="T141" s="116">
        <f t="shared" ca="1" si="45"/>
        <v>96.559562494335438</v>
      </c>
      <c r="V141" s="72">
        <f t="shared" ca="1" si="46"/>
        <v>7852.9</v>
      </c>
      <c r="W141" s="72">
        <f t="shared" si="47"/>
        <v>61668038.409999996</v>
      </c>
      <c r="Y141" s="110">
        <f t="shared" si="48"/>
        <v>10.531536828992218</v>
      </c>
      <c r="Z141" s="111">
        <f t="shared" si="49"/>
        <v>-53.68011045614</v>
      </c>
      <c r="AA141" s="72">
        <f t="shared" si="50"/>
        <v>126.31988954386</v>
      </c>
      <c r="AB141" s="110">
        <f t="shared" ca="1" si="51"/>
        <v>-8.4191736421345258</v>
      </c>
      <c r="AC141" s="111">
        <f t="shared" ca="1" si="52"/>
        <v>-29.760327049524527</v>
      </c>
      <c r="AD141" s="72">
        <f t="shared" ca="1" si="53"/>
        <v>150.23967295047547</v>
      </c>
    </row>
    <row r="142" spans="1:30">
      <c r="A142" s="118">
        <v>7943.3</v>
      </c>
      <c r="B142" s="101">
        <f t="shared" ref="B142:B205" ca="1" si="54">SQRT(1+(A142/Pole1)^2)</f>
        <v>407.33966017176641</v>
      </c>
      <c r="C142" s="102">
        <f t="shared" ref="C142:C205" ca="1" si="55">ATAN(A142/Pole1)</f>
        <v>1.5683413706434448</v>
      </c>
      <c r="D142" s="102">
        <f t="shared" ref="D142:D205" si="56">SQRT(1+(A142/Zero1)^2)</f>
        <v>10.603062771759936</v>
      </c>
      <c r="E142" s="103">
        <f t="shared" ref="E142:E205" si="57">ATAN(A142/Zero1)</f>
        <v>1.4763435769063356</v>
      </c>
      <c r="F142" s="101">
        <f t="shared" ref="F142:F205" si="58">SQRT(1+(A142/Pole2)^2)</f>
        <v>598.91154437028661</v>
      </c>
      <c r="G142" s="104">
        <f t="shared" ref="G142:G205" si="59">ATAN(A142/Pole2)</f>
        <v>1.5691266303696936</v>
      </c>
      <c r="H142" s="113">
        <f t="shared" ref="H142:H205" si="60">SQRT(1+(A142/Zero2)^2)</f>
        <v>1.2491835070732213</v>
      </c>
      <c r="I142" s="114">
        <f t="shared" ref="I142:I205" si="61">ATAN(A142/Zero2)</f>
        <v>0.64262910671352647</v>
      </c>
      <c r="J142" s="101">
        <f t="shared" ref="J142:J205" si="62">SQRT(1+(A142/pole4)^2)</f>
        <v>1.0000124545765383</v>
      </c>
      <c r="K142" s="104">
        <f t="shared" ref="K142:K205" si="63">ATAN(A142/pole4)</f>
        <v>4.9908811398254368E-3</v>
      </c>
      <c r="L142" s="102">
        <f t="shared" ref="L142:L205" si="64">SQRT(1+(A142/Zerofeed)^2)</f>
        <v>1</v>
      </c>
      <c r="M142" s="103">
        <f t="shared" ref="M142:M205" si="65">ATAN(A142/Zerofeed)</f>
        <v>2.6202343541582255E-10</v>
      </c>
      <c r="N142" s="101">
        <f t="shared" ref="N142:N205" si="66">SQRT(1+(A142/Polefeed)^2)</f>
        <v>1</v>
      </c>
      <c r="O142" s="104">
        <f t="shared" ref="O142:O205" si="67">ATAN(A142/Polefeed)</f>
        <v>4.1923749666531606E-11</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-13.886240791788955</v>
      </c>
      <c r="S142" s="108">
        <f t="shared" ref="S142:S205" ca="1" si="71">((E142+I142+M142)-(C142+G142+Q142+K142+O142))*radconv</f>
        <v>-83.321367061719528</v>
      </c>
      <c r="T142" s="116">
        <f t="shared" ref="T142:T205" ca="1" si="72">IF(S142&gt;0,S142,S142+180)</f>
        <v>96.678632938280472</v>
      </c>
      <c r="V142" s="72">
        <f t="shared" ref="V142:V205" ca="1" si="73">IF(R142&lt;0,A142,1000000000)</f>
        <v>7943.3</v>
      </c>
      <c r="W142" s="72">
        <f t="shared" ref="W142:W205" si="74">A142^2</f>
        <v>63096014.890000001</v>
      </c>
      <c r="Y142" s="110">
        <f t="shared" ref="Y142:Y205" si="75">20*LOG10(((H142*L142)/(F142*J142*N142))*Aea)</f>
        <v>10.467562618233213</v>
      </c>
      <c r="Z142" s="111">
        <f t="shared" ref="Z142:Z205" si="76">(I142+M142-(G142+K142+O142))*radconv</f>
        <v>-53.370354308557701</v>
      </c>
      <c r="AA142" s="72">
        <f t="shared" ref="AA142:AA205" si="77">IF(Z142&gt;0,Z142,Z142+180)</f>
        <v>126.62964569144231</v>
      </c>
      <c r="AB142" s="110">
        <f t="shared" ref="AB142:AB205" ca="1" si="78">20*LOG10((D142/(B142*P142))*Acs*Am)</f>
        <v>-8.4362030631406597</v>
      </c>
      <c r="AC142" s="111">
        <f t="shared" ref="AC142:AC205" ca="1" si="79">(E142-(C142+Q142))*radconv</f>
        <v>-29.951012753161841</v>
      </c>
      <c r="AD142" s="72">
        <f t="shared" ref="AD142:AD205" ca="1" si="80">IF(AC142&gt;0,AC142,AC142+180)</f>
        <v>150.04898724683815</v>
      </c>
    </row>
    <row r="143" spans="1:30">
      <c r="A143" s="118">
        <v>8035.8</v>
      </c>
      <c r="B143" s="101">
        <f t="shared" ca="1" si="54"/>
        <v>412.08311601375158</v>
      </c>
      <c r="C143" s="102">
        <f t="shared" ca="1" si="55"/>
        <v>1.5683696295034601</v>
      </c>
      <c r="D143" s="102">
        <f t="shared" si="56"/>
        <v>10.725443794857952</v>
      </c>
      <c r="E143" s="103">
        <f t="shared" si="57"/>
        <v>1.477424476747472</v>
      </c>
      <c r="F143" s="101">
        <f t="shared" si="58"/>
        <v>605.88587044336964</v>
      </c>
      <c r="G143" s="104">
        <f t="shared" si="59"/>
        <v>1.5691458501906468</v>
      </c>
      <c r="H143" s="113">
        <f t="shared" si="60"/>
        <v>1.2544275885855516</v>
      </c>
      <c r="I143" s="114">
        <f t="shared" si="61"/>
        <v>0.64819254482863109</v>
      </c>
      <c r="J143" s="101">
        <f t="shared" si="62"/>
        <v>1.0000127463315434</v>
      </c>
      <c r="K143" s="104">
        <f t="shared" si="63"/>
        <v>5.0489991392475677E-3</v>
      </c>
      <c r="L143" s="102">
        <f t="shared" si="64"/>
        <v>1</v>
      </c>
      <c r="M143" s="103">
        <f t="shared" si="65"/>
        <v>2.6507470727713503E-10</v>
      </c>
      <c r="N143" s="101">
        <f t="shared" si="66"/>
        <v>1</v>
      </c>
      <c r="O143" s="104">
        <f t="shared" si="67"/>
        <v>4.2411953164341603E-11</v>
      </c>
      <c r="P143" s="105">
        <f t="shared" ca="1" si="68"/>
        <v>1.0956812970731011</v>
      </c>
      <c r="Q143" s="106">
        <f t="shared" ca="1" si="69"/>
        <v>0.43521209304615138</v>
      </c>
      <c r="R143" s="107">
        <f t="shared" ca="1" si="70"/>
        <v>-13.967941600180641</v>
      </c>
      <c r="S143" s="108">
        <f t="shared" ca="1" si="71"/>
        <v>-83.202613494315756</v>
      </c>
      <c r="T143" s="116">
        <f t="shared" ca="1" si="72"/>
        <v>96.797386505684244</v>
      </c>
      <c r="V143" s="72">
        <f t="shared" ca="1" si="73"/>
        <v>8035.8</v>
      </c>
      <c r="W143" s="72">
        <f t="shared" si="74"/>
        <v>64574081.640000001</v>
      </c>
      <c r="Y143" s="110">
        <f t="shared" si="75"/>
        <v>10.403384384921869</v>
      </c>
      <c r="Z143" s="111">
        <f t="shared" si="76"/>
        <v>-53.056023915178194</v>
      </c>
      <c r="AA143" s="72">
        <f t="shared" si="77"/>
        <v>126.9439760848218</v>
      </c>
      <c r="AB143" s="110">
        <f t="shared" ca="1" si="78"/>
        <v>-8.4537256382210053</v>
      </c>
      <c r="AC143" s="111">
        <f t="shared" ca="1" si="79"/>
        <v>-30.146589579137558</v>
      </c>
      <c r="AD143" s="72">
        <f t="shared" ca="1" si="80"/>
        <v>149.85341042086245</v>
      </c>
    </row>
    <row r="144" spans="1:30">
      <c r="A144" s="118">
        <v>8128.3</v>
      </c>
      <c r="B144" s="101">
        <f t="shared" ca="1" si="54"/>
        <v>416.82657217732145</v>
      </c>
      <c r="C144" s="102">
        <f t="shared" ca="1" si="55"/>
        <v>1.5683972451959418</v>
      </c>
      <c r="D144" s="102">
        <f t="shared" si="56"/>
        <v>10.847837066220549</v>
      </c>
      <c r="E144" s="103">
        <f t="shared" si="57"/>
        <v>1.478480986786848</v>
      </c>
      <c r="F144" s="101">
        <f t="shared" si="58"/>
        <v>612.86019673517353</v>
      </c>
      <c r="G144" s="104">
        <f t="shared" si="59"/>
        <v>1.5691646325699087</v>
      </c>
      <c r="H144" s="113">
        <f t="shared" si="60"/>
        <v>1.2597101729802</v>
      </c>
      <c r="I144" s="114">
        <f t="shared" si="61"/>
        <v>0.65370949205061701</v>
      </c>
      <c r="J144" s="101">
        <f t="shared" si="62"/>
        <v>1.0000130414642914</v>
      </c>
      <c r="K144" s="104">
        <f t="shared" si="63"/>
        <v>5.1071171045614008E-3</v>
      </c>
      <c r="L144" s="102">
        <f t="shared" si="64"/>
        <v>1</v>
      </c>
      <c r="M144" s="103">
        <f t="shared" si="65"/>
        <v>2.6812597913844751E-10</v>
      </c>
      <c r="N144" s="101">
        <f t="shared" si="66"/>
        <v>1</v>
      </c>
      <c r="O144" s="104">
        <f t="shared" si="67"/>
        <v>4.2900156662151606E-11</v>
      </c>
      <c r="P144" s="105">
        <f t="shared" ca="1" si="68"/>
        <v>1.0977984200500033</v>
      </c>
      <c r="Q144" s="106">
        <f t="shared" ca="1" si="69"/>
        <v>0.43966170703230384</v>
      </c>
      <c r="R144" s="107">
        <f t="shared" ca="1" si="70"/>
        <v>-14.048476139257168</v>
      </c>
      <c r="S144" s="108">
        <f t="shared" ca="1" si="71"/>
        <v>-83.086914565834761</v>
      </c>
      <c r="T144" s="116">
        <f t="shared" ca="1" si="72"/>
        <v>96.913085434165239</v>
      </c>
      <c r="V144" s="72">
        <f t="shared" ca="1" si="73"/>
        <v>8128.3</v>
      </c>
      <c r="W144" s="72">
        <f t="shared" si="74"/>
        <v>66069260.890000001</v>
      </c>
      <c r="Y144" s="110">
        <f t="shared" si="75"/>
        <v>10.340470783545632</v>
      </c>
      <c r="Z144" s="111">
        <f t="shared" si="76"/>
        <v>-52.744332188246261</v>
      </c>
      <c r="AA144" s="72">
        <f t="shared" si="77"/>
        <v>127.25566781175374</v>
      </c>
      <c r="AB144" s="110">
        <f t="shared" ca="1" si="78"/>
        <v>-8.4713465759212969</v>
      </c>
      <c r="AC144" s="111">
        <f t="shared" ca="1" si="79"/>
        <v>-30.342582377588503</v>
      </c>
      <c r="AD144" s="72">
        <f t="shared" ca="1" si="80"/>
        <v>149.65741762241149</v>
      </c>
    </row>
    <row r="145" spans="1:30">
      <c r="A145" s="118">
        <v>8222.9500000000007</v>
      </c>
      <c r="B145" s="101">
        <f t="shared" ca="1" si="54"/>
        <v>421.6802819678777</v>
      </c>
      <c r="C145" s="102">
        <f t="shared" ca="1" si="55"/>
        <v>1.5684248596429509</v>
      </c>
      <c r="D145" s="102">
        <f t="shared" si="56"/>
        <v>10.973087405231109</v>
      </c>
      <c r="E145" s="103">
        <f t="shared" si="57"/>
        <v>1.4795376557385163</v>
      </c>
      <c r="F145" s="101">
        <f t="shared" si="58"/>
        <v>619.99662920814205</v>
      </c>
      <c r="G145" s="104">
        <f t="shared" si="59"/>
        <v>1.5691834141007444</v>
      </c>
      <c r="H145" s="113">
        <f t="shared" si="60"/>
        <v>1.2651548943147353</v>
      </c>
      <c r="I145" s="114">
        <f t="shared" si="61"/>
        <v>0.65930680612361081</v>
      </c>
      <c r="J145" s="101">
        <f t="shared" si="62"/>
        <v>1.0000133469532986</v>
      </c>
      <c r="K145" s="104">
        <f t="shared" si="63"/>
        <v>5.1665858841636134E-3</v>
      </c>
      <c r="L145" s="102">
        <f t="shared" si="64"/>
        <v>1</v>
      </c>
      <c r="M145" s="103">
        <f t="shared" si="65"/>
        <v>2.712481724538338E-10</v>
      </c>
      <c r="N145" s="101">
        <f t="shared" si="66"/>
        <v>1</v>
      </c>
      <c r="O145" s="104">
        <f t="shared" si="67"/>
        <v>4.3399707592613406E-11</v>
      </c>
      <c r="P145" s="105">
        <f t="shared" ca="1" si="68"/>
        <v>1.0999855635316609</v>
      </c>
      <c r="Q145" s="106">
        <f t="shared" ca="1" si="69"/>
        <v>0.44419761436033151</v>
      </c>
      <c r="R145" s="107">
        <f t="shared" ca="1" si="70"/>
        <v>-14.129707680404236</v>
      </c>
      <c r="S145" s="108">
        <f t="shared" ca="1" si="71"/>
        <v>-82.971623371247247</v>
      </c>
      <c r="T145" s="116">
        <f t="shared" ca="1" si="72"/>
        <v>97.028376628752753</v>
      </c>
      <c r="V145" s="72">
        <f t="shared" ca="1" si="73"/>
        <v>8222.9500000000007</v>
      </c>
      <c r="W145" s="72">
        <f t="shared" si="74"/>
        <v>67616906.702500015</v>
      </c>
      <c r="Y145" s="110">
        <f t="shared" si="75"/>
        <v>10.277371155425818</v>
      </c>
      <c r="Z145" s="111">
        <f t="shared" si="76"/>
        <v>-52.428113127276625</v>
      </c>
      <c r="AA145" s="72">
        <f t="shared" si="77"/>
        <v>127.57188687272338</v>
      </c>
      <c r="AB145" s="110">
        <f t="shared" ca="1" si="78"/>
        <v>-8.4894784889485511</v>
      </c>
      <c r="AC145" s="111">
        <f t="shared" ca="1" si="79"/>
        <v>-30.543510243970644</v>
      </c>
      <c r="AD145" s="72">
        <f t="shared" ca="1" si="80"/>
        <v>149.45648975602936</v>
      </c>
    </row>
    <row r="146" spans="1:30">
      <c r="A146" s="118">
        <v>8270.2750000000015</v>
      </c>
      <c r="B146" s="101">
        <f t="shared" ca="1" si="54"/>
        <v>424.1071369816691</v>
      </c>
      <c r="C146" s="102">
        <f t="shared" ca="1" si="55"/>
        <v>1.5684384298405314</v>
      </c>
      <c r="D146" s="102">
        <f t="shared" si="56"/>
        <v>11.035717091014138</v>
      </c>
      <c r="E146" s="103">
        <f t="shared" si="57"/>
        <v>1.4800569953930343</v>
      </c>
      <c r="F146" s="101">
        <f t="shared" si="58"/>
        <v>623.56484552523136</v>
      </c>
      <c r="G146" s="104">
        <f t="shared" si="59"/>
        <v>1.5691926436562311</v>
      </c>
      <c r="H146" s="113">
        <f t="shared" si="60"/>
        <v>1.2678920230635928</v>
      </c>
      <c r="I146" s="114">
        <f t="shared" si="61"/>
        <v>0.66208739217471113</v>
      </c>
      <c r="J146" s="101">
        <f t="shared" si="62"/>
        <v>1.0000135010240201</v>
      </c>
      <c r="K146" s="104">
        <f t="shared" si="63"/>
        <v>5.1963202602870323E-3</v>
      </c>
      <c r="L146" s="102">
        <f t="shared" si="64"/>
        <v>1</v>
      </c>
      <c r="M146" s="103">
        <f t="shared" si="65"/>
        <v>2.7280926911152698E-10</v>
      </c>
      <c r="N146" s="101">
        <f t="shared" si="66"/>
        <v>1</v>
      </c>
      <c r="O146" s="104">
        <f t="shared" si="67"/>
        <v>4.3649483057844312E-11</v>
      </c>
      <c r="P146" s="105">
        <f t="shared" ca="1" si="68"/>
        <v>1.1010869907514165</v>
      </c>
      <c r="Q146" s="106">
        <f t="shared" ca="1" si="69"/>
        <v>0.44645905082389836</v>
      </c>
      <c r="R146" s="107">
        <f t="shared" ca="1" si="70"/>
        <v>-14.169887793654159</v>
      </c>
      <c r="S146" s="108">
        <f t="shared" ca="1" si="71"/>
        <v>-82.915132304351289</v>
      </c>
      <c r="T146" s="116">
        <f t="shared" ca="1" si="72"/>
        <v>97.084867695648711</v>
      </c>
      <c r="V146" s="72">
        <f t="shared" ca="1" si="73"/>
        <v>8270.2750000000015</v>
      </c>
      <c r="W146" s="72">
        <f t="shared" si="74"/>
        <v>68397448.575625017</v>
      </c>
      <c r="Y146" s="110">
        <f t="shared" si="75"/>
        <v>10.246295312188742</v>
      </c>
      <c r="Z146" s="111">
        <f t="shared" si="76"/>
        <v>-52.271029750555499</v>
      </c>
      <c r="AA146" s="72">
        <f t="shared" si="77"/>
        <v>127.7289702494445</v>
      </c>
      <c r="AB146" s="110">
        <f t="shared" ca="1" si="78"/>
        <v>-8.4985827589613958</v>
      </c>
      <c r="AC146" s="111">
        <f t="shared" ca="1" si="79"/>
        <v>-30.644102553795808</v>
      </c>
      <c r="AD146" s="72">
        <f t="shared" ca="1" si="80"/>
        <v>149.35589744620418</v>
      </c>
    </row>
    <row r="147" spans="1:30">
      <c r="A147" s="118">
        <v>8317.6</v>
      </c>
      <c r="B147" s="101">
        <f t="shared" ca="1" si="54"/>
        <v>426.5339920726712</v>
      </c>
      <c r="C147" s="102">
        <f t="shared" ca="1" si="55"/>
        <v>1.568451845617113</v>
      </c>
      <c r="D147" s="102">
        <f t="shared" si="56"/>
        <v>11.098349719687025</v>
      </c>
      <c r="E147" s="103">
        <f t="shared" si="57"/>
        <v>1.4805704734830396</v>
      </c>
      <c r="F147" s="101">
        <f t="shared" si="58"/>
        <v>627.13306189483421</v>
      </c>
      <c r="G147" s="104">
        <f t="shared" si="59"/>
        <v>1.569201768184403</v>
      </c>
      <c r="H147" s="113">
        <f t="shared" si="60"/>
        <v>1.2706389124432576</v>
      </c>
      <c r="I147" s="114">
        <f t="shared" si="61"/>
        <v>0.66485597731571144</v>
      </c>
      <c r="J147" s="101">
        <f t="shared" si="62"/>
        <v>1.0000136559788864</v>
      </c>
      <c r="K147" s="104">
        <f t="shared" si="63"/>
        <v>5.2260546272218916E-3</v>
      </c>
      <c r="L147" s="102">
        <f t="shared" si="64"/>
        <v>1</v>
      </c>
      <c r="M147" s="103">
        <f t="shared" si="65"/>
        <v>2.7437036576922004E-10</v>
      </c>
      <c r="N147" s="101">
        <f t="shared" si="66"/>
        <v>1</v>
      </c>
      <c r="O147" s="104">
        <f t="shared" si="67"/>
        <v>4.3899258523075205E-11</v>
      </c>
      <c r="P147" s="105">
        <f t="shared" ca="1" si="68"/>
        <v>1.1021936341753318</v>
      </c>
      <c r="Q147" s="106">
        <f t="shared" ca="1" si="69"/>
        <v>0.44871613232284657</v>
      </c>
      <c r="R147" s="107">
        <f t="shared" ca="1" si="70"/>
        <v>-14.209782704727012</v>
      </c>
      <c r="S147" s="108">
        <f t="shared" ca="1" si="71"/>
        <v>-82.859400294950788</v>
      </c>
      <c r="T147" s="116">
        <f t="shared" ca="1" si="72"/>
        <v>97.140599705049212</v>
      </c>
      <c r="V147" s="72">
        <f t="shared" ca="1" si="73"/>
        <v>8317.6</v>
      </c>
      <c r="W147" s="72">
        <f t="shared" si="74"/>
        <v>69182469.760000005</v>
      </c>
      <c r="Y147" s="110">
        <f t="shared" si="75"/>
        <v>10.215530123139535</v>
      </c>
      <c r="Z147" s="111">
        <f t="shared" si="76"/>
        <v>-52.114627957185853</v>
      </c>
      <c r="AA147" s="72">
        <f t="shared" si="77"/>
        <v>127.88537204281414</v>
      </c>
      <c r="AB147" s="110">
        <f t="shared" ca="1" si="78"/>
        <v>-8.5077124809850471</v>
      </c>
      <c r="AC147" s="111">
        <f t="shared" ca="1" si="79"/>
        <v>-30.744772337764932</v>
      </c>
      <c r="AD147" s="72">
        <f t="shared" ca="1" si="80"/>
        <v>149.25522766223506</v>
      </c>
    </row>
    <row r="148" spans="1:30">
      <c r="A148" s="118">
        <v>8366.0499999999993</v>
      </c>
      <c r="B148" s="101">
        <f t="shared" ca="1" si="54"/>
        <v>429.018537933836</v>
      </c>
      <c r="C148" s="102">
        <f t="shared" ca="1" si="55"/>
        <v>1.5684654230760613</v>
      </c>
      <c r="D148" s="102">
        <f t="shared" si="56"/>
        <v>11.162474235039802</v>
      </c>
      <c r="E148" s="103">
        <f t="shared" si="57"/>
        <v>1.4810901883797785</v>
      </c>
      <c r="F148" s="101">
        <f t="shared" si="58"/>
        <v>630.78610121100451</v>
      </c>
      <c r="G148" s="104">
        <f t="shared" si="59"/>
        <v>1.5692110026779642</v>
      </c>
      <c r="H148" s="113">
        <f t="shared" si="60"/>
        <v>1.2734611457810681</v>
      </c>
      <c r="I148" s="114">
        <f t="shared" si="61"/>
        <v>0.66767798137873124</v>
      </c>
      <c r="J148" s="101">
        <f t="shared" si="62"/>
        <v>1.0000138155332281</v>
      </c>
      <c r="K148" s="104">
        <f t="shared" si="63"/>
        <v>5.2564958237336507E-3</v>
      </c>
      <c r="L148" s="102">
        <f t="shared" si="64"/>
        <v>1</v>
      </c>
      <c r="M148" s="103">
        <f t="shared" si="65"/>
        <v>2.7596857249009123E-10</v>
      </c>
      <c r="N148" s="101">
        <f t="shared" si="66"/>
        <v>1</v>
      </c>
      <c r="O148" s="104">
        <f t="shared" si="67"/>
        <v>4.4154971598414597E-11</v>
      </c>
      <c r="P148" s="105">
        <f t="shared" ca="1" si="68"/>
        <v>1.1033319718818377</v>
      </c>
      <c r="Q148" s="106">
        <f t="shared" ca="1" si="69"/>
        <v>0.45102234950367359</v>
      </c>
      <c r="R148" s="107">
        <f t="shared" ca="1" si="70"/>
        <v>-14.250334548844428</v>
      </c>
      <c r="S148" s="108">
        <f t="shared" ca="1" si="71"/>
        <v>-82.803121593883176</v>
      </c>
      <c r="T148" s="116">
        <f t="shared" ca="1" si="72"/>
        <v>97.196878406116824</v>
      </c>
      <c r="V148" s="72">
        <f t="shared" ca="1" si="73"/>
        <v>8366.0499999999993</v>
      </c>
      <c r="W148" s="72">
        <f t="shared" si="74"/>
        <v>69990792.602499992</v>
      </c>
      <c r="Y148" s="110">
        <f t="shared" si="75"/>
        <v>10.18435132133038</v>
      </c>
      <c r="Z148" s="111">
        <f t="shared" si="76"/>
        <v>-51.955212283937414</v>
      </c>
      <c r="AA148" s="72">
        <f t="shared" si="77"/>
        <v>128.04478771606259</v>
      </c>
      <c r="AB148" s="110">
        <f t="shared" ca="1" si="78"/>
        <v>-8.5170855232933054</v>
      </c>
      <c r="AC148" s="111">
        <f t="shared" ca="1" si="79"/>
        <v>-30.847909309945763</v>
      </c>
      <c r="AD148" s="72">
        <f t="shared" ca="1" si="80"/>
        <v>149.15209069005425</v>
      </c>
    </row>
    <row r="149" spans="1:30">
      <c r="A149" s="119">
        <v>8414.5</v>
      </c>
      <c r="B149" s="101">
        <f t="shared" ca="1" si="54"/>
        <v>431.50308387317858</v>
      </c>
      <c r="C149" s="102">
        <f t="shared" ca="1" si="55"/>
        <v>1.568478844180067</v>
      </c>
      <c r="D149" s="102">
        <f t="shared" si="56"/>
        <v>11.226601730973645</v>
      </c>
      <c r="E149" s="103">
        <f t="shared" si="57"/>
        <v>1.4816039660848097</v>
      </c>
      <c r="F149" s="101">
        <f t="shared" si="58"/>
        <v>634.43914058034625</v>
      </c>
      <c r="G149" s="104">
        <f t="shared" si="59"/>
        <v>1.56922013082888</v>
      </c>
      <c r="H149" s="113">
        <f t="shared" si="60"/>
        <v>1.2762934756921165</v>
      </c>
      <c r="I149" s="114">
        <f t="shared" si="61"/>
        <v>0.67048748264138025</v>
      </c>
      <c r="J149" s="101">
        <f t="shared" si="62"/>
        <v>1.0000139760142488</v>
      </c>
      <c r="K149" s="104">
        <f t="shared" si="63"/>
        <v>5.2869370105032877E-3</v>
      </c>
      <c r="L149" s="102">
        <f t="shared" si="64"/>
        <v>1</v>
      </c>
      <c r="M149" s="103">
        <f t="shared" si="65"/>
        <v>2.7756677921096253E-10</v>
      </c>
      <c r="N149" s="101">
        <f t="shared" si="66"/>
        <v>1</v>
      </c>
      <c r="O149" s="104">
        <f t="shared" si="67"/>
        <v>4.4410684673754001E-11</v>
      </c>
      <c r="P149" s="105">
        <f t="shared" ca="1" si="68"/>
        <v>1.1044757436356401</v>
      </c>
      <c r="Q149" s="106">
        <f t="shared" ca="1" si="69"/>
        <v>0.4533239867660056</v>
      </c>
      <c r="R149" s="107">
        <f t="shared" ca="1" si="70"/>
        <v>-14.290595549438072</v>
      </c>
      <c r="S149" s="108">
        <f t="shared" ca="1" si="71"/>
        <v>-82.747621964515247</v>
      </c>
      <c r="T149" s="116">
        <f t="shared" ca="1" si="72"/>
        <v>97.252378035484753</v>
      </c>
      <c r="V149" s="72">
        <f t="shared" ca="1" si="73"/>
        <v>8414.5</v>
      </c>
      <c r="W149" s="72">
        <f t="shared" si="74"/>
        <v>70803810.25</v>
      </c>
      <c r="Y149" s="110">
        <f t="shared" si="75"/>
        <v>10.153489880103287</v>
      </c>
      <c r="Z149" s="111">
        <f t="shared" si="76"/>
        <v>-51.796506874840198</v>
      </c>
      <c r="AA149" s="72">
        <f t="shared" si="77"/>
        <v>128.20349312515981</v>
      </c>
      <c r="AB149" s="110">
        <f t="shared" ca="1" si="78"/>
        <v>-8.5264850826598533</v>
      </c>
      <c r="AC149" s="111">
        <f t="shared" ca="1" si="79"/>
        <v>-30.951115089675071</v>
      </c>
      <c r="AD149" s="72">
        <f t="shared" ca="1" si="80"/>
        <v>149.04888491032494</v>
      </c>
    </row>
    <row r="150" spans="1:30">
      <c r="A150" s="119">
        <v>8462.9500000000007</v>
      </c>
      <c r="B150" s="101">
        <f t="shared" ca="1" si="54"/>
        <v>433.98762988935619</v>
      </c>
      <c r="C150" s="102">
        <f t="shared" ca="1" si="55"/>
        <v>1.5684921116144852</v>
      </c>
      <c r="D150" s="102">
        <f t="shared" si="56"/>
        <v>11.290732156702507</v>
      </c>
      <c r="E150" s="103">
        <f t="shared" si="57"/>
        <v>1.4821119074928293</v>
      </c>
      <c r="F150" s="101">
        <f t="shared" si="58"/>
        <v>638.09218000194619</v>
      </c>
      <c r="G150" s="104">
        <f t="shared" si="59"/>
        <v>1.5692291544635648</v>
      </c>
      <c r="H150" s="113">
        <f t="shared" si="60"/>
        <v>1.2791358351073123</v>
      </c>
      <c r="I150" s="114">
        <f t="shared" si="61"/>
        <v>0.67328451995136762</v>
      </c>
      <c r="J150" s="101">
        <f t="shared" si="62"/>
        <v>1.000014137421948</v>
      </c>
      <c r="K150" s="104">
        <f t="shared" si="63"/>
        <v>5.3173781874743878E-3</v>
      </c>
      <c r="L150" s="102">
        <f t="shared" si="64"/>
        <v>1</v>
      </c>
      <c r="M150" s="103">
        <f t="shared" si="65"/>
        <v>2.7916498593183382E-10</v>
      </c>
      <c r="N150" s="101">
        <f t="shared" si="66"/>
        <v>1</v>
      </c>
      <c r="O150" s="104">
        <f t="shared" si="67"/>
        <v>4.4666397749093406E-11</v>
      </c>
      <c r="P150" s="105">
        <f t="shared" ca="1" si="68"/>
        <v>1.1056249326757011</v>
      </c>
      <c r="Q150" s="106">
        <f t="shared" ca="1" si="69"/>
        <v>0.45562103661292525</v>
      </c>
      <c r="R150" s="107">
        <f t="shared" ca="1" si="70"/>
        <v>-14.330569687945134</v>
      </c>
      <c r="S150" s="108">
        <f t="shared" ca="1" si="71"/>
        <v>-82.692893229157434</v>
      </c>
      <c r="T150" s="116">
        <f t="shared" ca="1" si="72"/>
        <v>97.307106770842566</v>
      </c>
      <c r="V150" s="72">
        <f t="shared" ca="1" si="73"/>
        <v>8462.9500000000007</v>
      </c>
      <c r="W150" s="72">
        <f t="shared" si="74"/>
        <v>71621522.702500015</v>
      </c>
      <c r="Y150" s="110">
        <f t="shared" si="75"/>
        <v>10.122941730918802</v>
      </c>
      <c r="Z150" s="111">
        <f t="shared" si="76"/>
        <v>-51.638509608727006</v>
      </c>
      <c r="AA150" s="72">
        <f t="shared" si="77"/>
        <v>128.36149039127298</v>
      </c>
      <c r="AB150" s="110">
        <f t="shared" ca="1" si="78"/>
        <v>-8.5359110719824312</v>
      </c>
      <c r="AC150" s="111">
        <f t="shared" ca="1" si="79"/>
        <v>-31.054383620430428</v>
      </c>
      <c r="AD150" s="72">
        <f t="shared" ca="1" si="80"/>
        <v>148.94561637956957</v>
      </c>
    </row>
    <row r="151" spans="1:30">
      <c r="A151" s="119">
        <v>8511.4</v>
      </c>
      <c r="B151" s="101">
        <f t="shared" ca="1" si="54"/>
        <v>436.47217598105652</v>
      </c>
      <c r="C151" s="102">
        <f t="shared" ca="1" si="55"/>
        <v>1.5685052280035281</v>
      </c>
      <c r="D151" s="102">
        <f t="shared" si="56"/>
        <v>11.354865462585371</v>
      </c>
      <c r="E151" s="103">
        <f t="shared" si="57"/>
        <v>1.4826141112312874</v>
      </c>
      <c r="F151" s="101">
        <f t="shared" si="58"/>
        <v>641.74521947491178</v>
      </c>
      <c r="G151" s="104">
        <f t="shared" si="59"/>
        <v>1.569238075366846</v>
      </c>
      <c r="H151" s="113">
        <f t="shared" si="60"/>
        <v>1.2819881573159266</v>
      </c>
      <c r="I151" s="114">
        <f t="shared" si="61"/>
        <v>0.67606913259257706</v>
      </c>
      <c r="J151" s="101">
        <f t="shared" si="62"/>
        <v>1.0000142997563251</v>
      </c>
      <c r="K151" s="104">
        <f t="shared" si="63"/>
        <v>5.3478193545905394E-3</v>
      </c>
      <c r="L151" s="102">
        <f t="shared" si="64"/>
        <v>1</v>
      </c>
      <c r="M151" s="103">
        <f t="shared" si="65"/>
        <v>2.8076319265270501E-10</v>
      </c>
      <c r="N151" s="101">
        <f t="shared" si="66"/>
        <v>1</v>
      </c>
      <c r="O151" s="104">
        <f t="shared" si="67"/>
        <v>4.4922110824432798E-11</v>
      </c>
      <c r="P151" s="105">
        <f t="shared" ca="1" si="68"/>
        <v>1.1067795222314831</v>
      </c>
      <c r="Q151" s="106">
        <f t="shared" ca="1" si="69"/>
        <v>0.45791349175777785</v>
      </c>
      <c r="R151" s="107">
        <f t="shared" ca="1" si="70"/>
        <v>-14.370260876744654</v>
      </c>
      <c r="S151" s="108">
        <f t="shared" ca="1" si="71"/>
        <v>-82.638927321193762</v>
      </c>
      <c r="T151" s="116">
        <f t="shared" ca="1" si="72"/>
        <v>97.361072678806238</v>
      </c>
      <c r="V151" s="72">
        <f t="shared" ca="1" si="73"/>
        <v>8511.4</v>
      </c>
      <c r="W151" s="72">
        <f t="shared" si="74"/>
        <v>72443929.959999993</v>
      </c>
      <c r="Y151" s="110">
        <f t="shared" si="75"/>
        <v>10.092702870178405</v>
      </c>
      <c r="Z151" s="111">
        <f t="shared" si="76"/>
        <v>-51.481218337056937</v>
      </c>
      <c r="AA151" s="72">
        <f t="shared" si="77"/>
        <v>128.51878166294307</v>
      </c>
      <c r="AB151" s="110">
        <f t="shared" ca="1" si="78"/>
        <v>-8.5453634000415555</v>
      </c>
      <c r="AC151" s="111">
        <f t="shared" ca="1" si="79"/>
        <v>-31.157708984136875</v>
      </c>
      <c r="AD151" s="72">
        <f t="shared" ca="1" si="80"/>
        <v>148.84229101586311</v>
      </c>
    </row>
    <row r="152" spans="1:30">
      <c r="A152" s="119">
        <v>8560.9500000000007</v>
      </c>
      <c r="B152" s="101">
        <f t="shared" ca="1" si="54"/>
        <v>439.01313083273163</v>
      </c>
      <c r="C152" s="102">
        <f t="shared" ca="1" si="55"/>
        <v>1.5685184886289596</v>
      </c>
      <c r="D152" s="102">
        <f t="shared" si="56"/>
        <v>11.420457767811898</v>
      </c>
      <c r="E152" s="103">
        <f t="shared" si="57"/>
        <v>1.483121882837362</v>
      </c>
      <c r="F152" s="101">
        <f t="shared" si="58"/>
        <v>645.4811969447876</v>
      </c>
      <c r="G152" s="104">
        <f t="shared" si="59"/>
        <v>1.5692470943699188</v>
      </c>
      <c r="H152" s="113">
        <f t="shared" si="60"/>
        <v>1.2849154736361039</v>
      </c>
      <c r="I152" s="114">
        <f t="shared" si="61"/>
        <v>0.67890415695338058</v>
      </c>
      <c r="J152" s="101">
        <f t="shared" si="62"/>
        <v>1.0000144667347877</v>
      </c>
      <c r="K152" s="104">
        <f t="shared" si="63"/>
        <v>5.3789516421839543E-3</v>
      </c>
      <c r="L152" s="102">
        <f t="shared" si="64"/>
        <v>1</v>
      </c>
      <c r="M152" s="103">
        <f t="shared" si="65"/>
        <v>2.823976847686838E-10</v>
      </c>
      <c r="N152" s="101">
        <f t="shared" si="66"/>
        <v>1</v>
      </c>
      <c r="O152" s="104">
        <f t="shared" si="67"/>
        <v>4.5183629562989407E-11</v>
      </c>
      <c r="P152" s="105">
        <f t="shared" ca="1" si="68"/>
        <v>1.1079658937186185</v>
      </c>
      <c r="Q152" s="106">
        <f t="shared" ca="1" si="69"/>
        <v>0.46025323465103041</v>
      </c>
      <c r="R152" s="107">
        <f t="shared" ca="1" si="70"/>
        <v>-14.410564554838512</v>
      </c>
      <c r="S152" s="108">
        <f t="shared" ca="1" si="71"/>
        <v>-82.584516890674678</v>
      </c>
      <c r="T152" s="116">
        <f t="shared" ca="1" si="72"/>
        <v>97.415483109325322</v>
      </c>
      <c r="V152" s="72">
        <f t="shared" ca="1" si="73"/>
        <v>8560.9500000000007</v>
      </c>
      <c r="W152" s="72">
        <f t="shared" si="74"/>
        <v>73289864.902500018</v>
      </c>
      <c r="Y152" s="110">
        <f t="shared" si="75"/>
        <v>10.062093267386887</v>
      </c>
      <c r="Z152" s="111">
        <f t="shared" si="76"/>
        <v>-51.321083905601661</v>
      </c>
      <c r="AA152" s="72">
        <f t="shared" si="77"/>
        <v>128.67891609439835</v>
      </c>
      <c r="AB152" s="110">
        <f t="shared" ca="1" si="78"/>
        <v>-8.5550574753438937</v>
      </c>
      <c r="AC152" s="111">
        <f t="shared" ca="1" si="79"/>
        <v>-31.263432985073042</v>
      </c>
      <c r="AD152" s="72">
        <f t="shared" ca="1" si="80"/>
        <v>148.73656701492695</v>
      </c>
    </row>
    <row r="153" spans="1:30">
      <c r="A153" s="119">
        <v>8610.5</v>
      </c>
      <c r="B153" s="101">
        <f t="shared" ca="1" si="54"/>
        <v>441.55408576071602</v>
      </c>
      <c r="C153" s="102">
        <f t="shared" ca="1" si="55"/>
        <v>1.5685315966359366</v>
      </c>
      <c r="D153" s="102">
        <f t="shared" si="56"/>
        <v>11.486052983967065</v>
      </c>
      <c r="E153" s="103">
        <f t="shared" si="57"/>
        <v>1.4836238549486798</v>
      </c>
      <c r="F153" s="101">
        <f t="shared" si="58"/>
        <v>649.21717446656396</v>
      </c>
      <c r="G153" s="104">
        <f t="shared" si="59"/>
        <v>1.5692560095716943</v>
      </c>
      <c r="H153" s="113">
        <f t="shared" si="60"/>
        <v>1.2878530702917628</v>
      </c>
      <c r="I153" s="114">
        <f t="shared" si="61"/>
        <v>0.68172627051264412</v>
      </c>
      <c r="J153" s="101">
        <f t="shared" si="62"/>
        <v>1.0000146346824832</v>
      </c>
      <c r="K153" s="104">
        <f t="shared" si="63"/>
        <v>5.4100839193505033E-3</v>
      </c>
      <c r="L153" s="102">
        <f t="shared" si="64"/>
        <v>1</v>
      </c>
      <c r="M153" s="103">
        <f t="shared" si="65"/>
        <v>2.8403217688466255E-10</v>
      </c>
      <c r="N153" s="101">
        <f t="shared" si="66"/>
        <v>1</v>
      </c>
      <c r="O153" s="104">
        <f t="shared" si="67"/>
        <v>4.5445148301546003E-11</v>
      </c>
      <c r="P153" s="105">
        <f t="shared" ca="1" si="68"/>
        <v>1.1091578782235805</v>
      </c>
      <c r="Q153" s="106">
        <f t="shared" ca="1" si="69"/>
        <v>0.46258815709153545</v>
      </c>
      <c r="R153" s="107">
        <f t="shared" ca="1" si="70"/>
        <v>-14.450580351579234</v>
      </c>
      <c r="S153" s="108">
        <f t="shared" ca="1" si="71"/>
        <v>-82.530887597202963</v>
      </c>
      <c r="T153" s="116">
        <f t="shared" ca="1" si="72"/>
        <v>97.469112402797037</v>
      </c>
      <c r="V153" s="72">
        <f t="shared" ca="1" si="73"/>
        <v>8610.5</v>
      </c>
      <c r="W153" s="72">
        <f t="shared" si="74"/>
        <v>74140710.25</v>
      </c>
      <c r="Y153" s="110">
        <f t="shared" si="75"/>
        <v>10.031798888776231</v>
      </c>
      <c r="Z153" s="111">
        <f t="shared" si="76"/>
        <v>-51.161683260611923</v>
      </c>
      <c r="AA153" s="72">
        <f t="shared" si="77"/>
        <v>128.83831673938806</v>
      </c>
      <c r="AB153" s="110">
        <f t="shared" ca="1" si="78"/>
        <v>-8.5647788934739602</v>
      </c>
      <c r="AC153" s="111">
        <f t="shared" ca="1" si="79"/>
        <v>-31.36920433659105</v>
      </c>
      <c r="AD153" s="72">
        <f t="shared" ca="1" si="80"/>
        <v>148.63079566340895</v>
      </c>
    </row>
    <row r="154" spans="1:30">
      <c r="A154" s="119">
        <v>8660.0499999999993</v>
      </c>
      <c r="B154" s="101">
        <f t="shared" ca="1" si="54"/>
        <v>444.09504076370001</v>
      </c>
      <c r="C154" s="102">
        <f t="shared" ca="1" si="55"/>
        <v>1.5685445546441414</v>
      </c>
      <c r="D154" s="102">
        <f t="shared" si="56"/>
        <v>11.551651061462382</v>
      </c>
      <c r="E154" s="103">
        <f t="shared" si="57"/>
        <v>1.4841201261104371</v>
      </c>
      <c r="F154" s="101">
        <f t="shared" si="58"/>
        <v>652.95315203935024</v>
      </c>
      <c r="G154" s="104">
        <f t="shared" si="59"/>
        <v>1.5692648227539188</v>
      </c>
      <c r="H154" s="113">
        <f t="shared" si="60"/>
        <v>1.2908008770951338</v>
      </c>
      <c r="I154" s="114">
        <f t="shared" si="61"/>
        <v>0.68453551661807255</v>
      </c>
      <c r="J154" s="101">
        <f t="shared" si="62"/>
        <v>1.0000148035994114</v>
      </c>
      <c r="K154" s="104">
        <f t="shared" si="63"/>
        <v>5.4412161860298448E-3</v>
      </c>
      <c r="L154" s="102">
        <f t="shared" si="64"/>
        <v>1</v>
      </c>
      <c r="M154" s="103">
        <f t="shared" si="65"/>
        <v>2.8566666900064124E-10</v>
      </c>
      <c r="N154" s="101">
        <f t="shared" si="66"/>
        <v>1</v>
      </c>
      <c r="O154" s="104">
        <f t="shared" si="67"/>
        <v>4.57066670401026E-11</v>
      </c>
      <c r="P154" s="105">
        <f t="shared" ca="1" si="68"/>
        <v>1.1103554577822567</v>
      </c>
      <c r="Q154" s="106">
        <f t="shared" ca="1" si="69"/>
        <v>0.46491825195932363</v>
      </c>
      <c r="R154" s="107">
        <f t="shared" ca="1" si="70"/>
        <v>-14.490312237383025</v>
      </c>
      <c r="S154" s="108">
        <f t="shared" ca="1" si="71"/>
        <v>-82.478031155149864</v>
      </c>
      <c r="T154" s="116">
        <f t="shared" ca="1" si="72"/>
        <v>97.521968844850136</v>
      </c>
      <c r="V154" s="72">
        <f t="shared" ca="1" si="73"/>
        <v>8660.0499999999993</v>
      </c>
      <c r="W154" s="72">
        <f t="shared" si="74"/>
        <v>74996466.002499983</v>
      </c>
      <c r="Y154" s="110">
        <f t="shared" si="75"/>
        <v>10.001815654042208</v>
      </c>
      <c r="Z154" s="111">
        <f t="shared" si="76"/>
        <v>-51.00301402053028</v>
      </c>
      <c r="AA154" s="72">
        <f t="shared" si="77"/>
        <v>128.99698597946971</v>
      </c>
      <c r="AB154" s="110">
        <f t="shared" ca="1" si="78"/>
        <v>-8.5745275445437255</v>
      </c>
      <c r="AC154" s="111">
        <f t="shared" ca="1" si="79"/>
        <v>-31.475017134619605</v>
      </c>
      <c r="AD154" s="72">
        <f t="shared" ca="1" si="80"/>
        <v>148.52498286538039</v>
      </c>
    </row>
    <row r="155" spans="1:30">
      <c r="A155" s="119">
        <v>8709.6</v>
      </c>
      <c r="B155" s="101">
        <f t="shared" ca="1" si="54"/>
        <v>446.63599584040361</v>
      </c>
      <c r="C155" s="102">
        <f t="shared" ca="1" si="55"/>
        <v>1.5685573652136422</v>
      </c>
      <c r="D155" s="102">
        <f t="shared" si="56"/>
        <v>11.617251951827244</v>
      </c>
      <c r="E155" s="103">
        <f t="shared" si="57"/>
        <v>1.4846107926533287</v>
      </c>
      <c r="F155" s="101">
        <f t="shared" si="58"/>
        <v>656.68912966227583</v>
      </c>
      <c r="G155" s="104">
        <f t="shared" si="59"/>
        <v>1.5692735356577927</v>
      </c>
      <c r="H155" s="113">
        <f t="shared" si="60"/>
        <v>1.2937588242552911</v>
      </c>
      <c r="I155" s="114">
        <f t="shared" si="61"/>
        <v>0.68733193903537915</v>
      </c>
      <c r="J155" s="101">
        <f t="shared" si="62"/>
        <v>1.0000149734855717</v>
      </c>
      <c r="K155" s="104">
        <f t="shared" si="63"/>
        <v>5.4723484421616373E-3</v>
      </c>
      <c r="L155" s="102">
        <f t="shared" si="64"/>
        <v>1</v>
      </c>
      <c r="M155" s="103">
        <f t="shared" si="65"/>
        <v>2.8730116111662003E-10</v>
      </c>
      <c r="N155" s="101">
        <f t="shared" si="66"/>
        <v>1</v>
      </c>
      <c r="O155" s="104">
        <f t="shared" si="67"/>
        <v>4.5968185778659202E-11</v>
      </c>
      <c r="P155" s="105">
        <f t="shared" ca="1" si="68"/>
        <v>1.1115586144239322</v>
      </c>
      <c r="Q155" s="106">
        <f t="shared" ca="1" si="69"/>
        <v>0.46724351235896144</v>
      </c>
      <c r="R155" s="107">
        <f t="shared" ca="1" si="70"/>
        <v>-14.529764113445882</v>
      </c>
      <c r="S155" s="108">
        <f t="shared" ca="1" si="71"/>
        <v>-82.425939388944315</v>
      </c>
      <c r="T155" s="116">
        <f t="shared" ca="1" si="72"/>
        <v>97.574060611055685</v>
      </c>
      <c r="V155" s="72">
        <f t="shared" ca="1" si="73"/>
        <v>8709.6</v>
      </c>
      <c r="W155" s="72">
        <f t="shared" si="74"/>
        <v>75857132.160000011</v>
      </c>
      <c r="Y155" s="110">
        <f t="shared" si="75"/>
        <v>9.9721395482836712</v>
      </c>
      <c r="Z155" s="111">
        <f t="shared" si="76"/>
        <v>-50.845073777526054</v>
      </c>
      <c r="AA155" s="72">
        <f t="shared" si="77"/>
        <v>129.15492622247393</v>
      </c>
      <c r="AB155" s="110">
        <f t="shared" ca="1" si="78"/>
        <v>-8.5843033148480465</v>
      </c>
      <c r="AC155" s="111">
        <f t="shared" ca="1" si="79"/>
        <v>-31.58086561141829</v>
      </c>
      <c r="AD155" s="72">
        <f t="shared" ca="1" si="80"/>
        <v>148.41913438858171</v>
      </c>
    </row>
    <row r="156" spans="1:30">
      <c r="A156" s="119">
        <v>8760.3250000000007</v>
      </c>
      <c r="B156" s="101">
        <f t="shared" ca="1" si="54"/>
        <v>449.23720572909866</v>
      </c>
      <c r="C156" s="102">
        <f t="shared" ca="1" si="55"/>
        <v>1.5685703294529767</v>
      </c>
      <c r="D156" s="102">
        <f t="shared" si="56"/>
        <v>11.684411327959733</v>
      </c>
      <c r="E156" s="103">
        <f t="shared" si="57"/>
        <v>1.485107387339097</v>
      </c>
      <c r="F156" s="101">
        <f t="shared" si="58"/>
        <v>660.51370014567351</v>
      </c>
      <c r="G156" s="104">
        <f t="shared" si="59"/>
        <v>1.569282353077472</v>
      </c>
      <c r="H156" s="113">
        <f t="shared" si="60"/>
        <v>1.2967973459161617</v>
      </c>
      <c r="I156" s="114">
        <f t="shared" si="61"/>
        <v>0.6901814368771515</v>
      </c>
      <c r="J156" s="101">
        <f t="shared" si="62"/>
        <v>1.0000151484042934</v>
      </c>
      <c r="K156" s="104">
        <f t="shared" si="63"/>
        <v>5.5042189395944395E-3</v>
      </c>
      <c r="L156" s="102">
        <f t="shared" si="64"/>
        <v>1</v>
      </c>
      <c r="M156" s="103">
        <f t="shared" si="65"/>
        <v>2.8897441263191819E-10</v>
      </c>
      <c r="N156" s="101">
        <f t="shared" si="66"/>
        <v>1</v>
      </c>
      <c r="O156" s="104">
        <f t="shared" si="67"/>
        <v>4.6235906021106905E-11</v>
      </c>
      <c r="P156" s="105">
        <f t="shared" ca="1" si="68"/>
        <v>1.1127960602858948</v>
      </c>
      <c r="Q156" s="106">
        <f t="shared" ca="1" si="69"/>
        <v>0.46961889788201905</v>
      </c>
      <c r="R156" s="107">
        <f t="shared" ca="1" si="70"/>
        <v>-14.569865481870783</v>
      </c>
      <c r="S156" s="108">
        <f t="shared" ca="1" si="71"/>
        <v>-82.373396016429297</v>
      </c>
      <c r="T156" s="116">
        <f t="shared" ca="1" si="72"/>
        <v>97.626603983570703</v>
      </c>
      <c r="V156" s="72">
        <f t="shared" ca="1" si="73"/>
        <v>8760.3250000000007</v>
      </c>
      <c r="W156" s="72">
        <f t="shared" si="74"/>
        <v>76743294.105625018</v>
      </c>
      <c r="Y156" s="110">
        <f t="shared" si="75"/>
        <v>9.9420737360574094</v>
      </c>
      <c r="Z156" s="111">
        <f t="shared" si="76"/>
        <v>-50.684140823124132</v>
      </c>
      <c r="AA156" s="72">
        <f t="shared" si="77"/>
        <v>129.31585917687588</v>
      </c>
      <c r="AB156" s="110">
        <f t="shared" ca="1" si="78"/>
        <v>-8.5943388710466913</v>
      </c>
      <c r="AC156" s="111">
        <f t="shared" ca="1" si="79"/>
        <v>-31.689255193305144</v>
      </c>
      <c r="AD156" s="72">
        <f t="shared" ca="1" si="80"/>
        <v>148.31074480669486</v>
      </c>
    </row>
    <row r="157" spans="1:30">
      <c r="A157" s="119">
        <v>8811.0499999999993</v>
      </c>
      <c r="B157" s="101">
        <f t="shared" ca="1" si="54"/>
        <v>451.83841569242816</v>
      </c>
      <c r="C157" s="102">
        <f t="shared" ca="1" si="55"/>
        <v>1.5685831444234273</v>
      </c>
      <c r="D157" s="102">
        <f t="shared" si="56"/>
        <v>11.751573552606501</v>
      </c>
      <c r="E157" s="103">
        <f t="shared" si="57"/>
        <v>1.4855983059000277</v>
      </c>
      <c r="F157" s="101">
        <f t="shared" si="58"/>
        <v>664.33827067983259</v>
      </c>
      <c r="G157" s="104">
        <f t="shared" si="59"/>
        <v>1.5692910689740422</v>
      </c>
      <c r="H157" s="113">
        <f t="shared" si="60"/>
        <v>1.299846347824589</v>
      </c>
      <c r="I157" s="114">
        <f t="shared" si="61"/>
        <v>0.69301758973247884</v>
      </c>
      <c r="J157" s="101">
        <f t="shared" si="62"/>
        <v>1.0000153243387591</v>
      </c>
      <c r="K157" s="104">
        <f t="shared" si="63"/>
        <v>5.5360894258455482E-3</v>
      </c>
      <c r="L157" s="102">
        <f t="shared" si="64"/>
        <v>1</v>
      </c>
      <c r="M157" s="103">
        <f t="shared" si="65"/>
        <v>2.9064766414721625E-10</v>
      </c>
      <c r="N157" s="101">
        <f t="shared" si="66"/>
        <v>1</v>
      </c>
      <c r="O157" s="104">
        <f t="shared" si="67"/>
        <v>4.65036262635546E-11</v>
      </c>
      <c r="P157" s="105">
        <f t="shared" ca="1" si="68"/>
        <v>1.1140393127404438</v>
      </c>
      <c r="Q157" s="106">
        <f t="shared" ca="1" si="69"/>
        <v>0.47198920302554215</v>
      </c>
      <c r="R157" s="107">
        <f t="shared" ca="1" si="70"/>
        <v>-14.609681461037816</v>
      </c>
      <c r="S157" s="108">
        <f t="shared" ca="1" si="71"/>
        <v>-82.321637019044203</v>
      </c>
      <c r="T157" s="116">
        <f t="shared" ca="1" si="72"/>
        <v>97.678362980955797</v>
      </c>
      <c r="V157" s="72">
        <f t="shared" ca="1" si="73"/>
        <v>8811.0499999999993</v>
      </c>
      <c r="W157" s="72">
        <f t="shared" si="74"/>
        <v>77634602.102499992</v>
      </c>
      <c r="Y157" s="110">
        <f t="shared" si="75"/>
        <v>9.9123214810241951</v>
      </c>
      <c r="Z157" s="111">
        <f t="shared" si="76"/>
        <v>-50.523966662637719</v>
      </c>
      <c r="AA157" s="72">
        <f t="shared" si="77"/>
        <v>129.47603333736228</v>
      </c>
      <c r="AB157" s="110">
        <f t="shared" ca="1" si="78"/>
        <v>-8.6044025951805043</v>
      </c>
      <c r="AC157" s="111">
        <f t="shared" ca="1" si="79"/>
        <v>-31.797670356406471</v>
      </c>
      <c r="AD157" s="72">
        <f t="shared" ca="1" si="80"/>
        <v>148.20232964359354</v>
      </c>
    </row>
    <row r="158" spans="1:30">
      <c r="A158" s="119">
        <v>8861.7749999999996</v>
      </c>
      <c r="B158" s="101">
        <f t="shared" ca="1" si="54"/>
        <v>454.43962572911084</v>
      </c>
      <c r="C158" s="102">
        <f t="shared" ca="1" si="55"/>
        <v>1.5685958126882322</v>
      </c>
      <c r="D158" s="102">
        <f t="shared" si="56"/>
        <v>11.818738577205883</v>
      </c>
      <c r="E158" s="103">
        <f t="shared" si="57"/>
        <v>1.4860836448684605</v>
      </c>
      <c r="F158" s="101">
        <f t="shared" si="58"/>
        <v>668.16284126388189</v>
      </c>
      <c r="G158" s="104">
        <f t="shared" si="59"/>
        <v>1.5692996850908605</v>
      </c>
      <c r="H158" s="113">
        <f t="shared" si="60"/>
        <v>1.3029057564043529</v>
      </c>
      <c r="I158" s="114">
        <f t="shared" si="61"/>
        <v>0.69584044582256654</v>
      </c>
      <c r="J158" s="101">
        <f t="shared" si="62"/>
        <v>1.0000155012889678</v>
      </c>
      <c r="K158" s="104">
        <f t="shared" si="63"/>
        <v>5.5679599008502251E-3</v>
      </c>
      <c r="L158" s="102">
        <f t="shared" si="64"/>
        <v>1</v>
      </c>
      <c r="M158" s="103">
        <f t="shared" si="65"/>
        <v>2.9232091566251441E-10</v>
      </c>
      <c r="N158" s="101">
        <f t="shared" si="66"/>
        <v>1</v>
      </c>
      <c r="O158" s="104">
        <f t="shared" si="67"/>
        <v>4.6771346506002303E-11</v>
      </c>
      <c r="P158" s="105">
        <f t="shared" ca="1" si="68"/>
        <v>1.1152883524924968</v>
      </c>
      <c r="Q158" s="106">
        <f t="shared" ca="1" si="69"/>
        <v>0.47435442111368925</v>
      </c>
      <c r="R158" s="107">
        <f t="shared" ca="1" si="70"/>
        <v>-14.649216020500502</v>
      </c>
      <c r="S158" s="108">
        <f t="shared" ca="1" si="71"/>
        <v>-82.270653967270391</v>
      </c>
      <c r="T158" s="116">
        <f t="shared" ca="1" si="72"/>
        <v>97.729346032729609</v>
      </c>
      <c r="V158" s="72">
        <f t="shared" ca="1" si="73"/>
        <v>8861.7749999999996</v>
      </c>
      <c r="W158" s="72">
        <f t="shared" si="74"/>
        <v>78531056.15062499</v>
      </c>
      <c r="Y158" s="110">
        <f t="shared" si="75"/>
        <v>9.8828786802262574</v>
      </c>
      <c r="Z158" s="111">
        <f t="shared" si="76"/>
        <v>-50.364548633078506</v>
      </c>
      <c r="AA158" s="72">
        <f t="shared" si="77"/>
        <v>129.6354513669215</v>
      </c>
      <c r="AB158" s="110">
        <f t="shared" ca="1" si="78"/>
        <v>-8.6144943538452523</v>
      </c>
      <c r="AC158" s="111">
        <f t="shared" ca="1" si="79"/>
        <v>-31.906105334191878</v>
      </c>
      <c r="AD158" s="72">
        <f t="shared" ca="1" si="80"/>
        <v>148.09389466580814</v>
      </c>
    </row>
    <row r="159" spans="1:30">
      <c r="A159" s="118">
        <v>8912.5</v>
      </c>
      <c r="B159" s="101">
        <f t="shared" ca="1" si="54"/>
        <v>457.04083583789395</v>
      </c>
      <c r="C159" s="102">
        <f t="shared" ca="1" si="55"/>
        <v>1.568608336752277</v>
      </c>
      <c r="D159" s="102">
        <f t="shared" si="56"/>
        <v>11.885906354291862</v>
      </c>
      <c r="E159" s="103">
        <f t="shared" si="57"/>
        <v>1.486563498605352</v>
      </c>
      <c r="F159" s="101">
        <f t="shared" si="58"/>
        <v>671.98741189696909</v>
      </c>
      <c r="G159" s="104">
        <f t="shared" si="59"/>
        <v>1.5693082031315939</v>
      </c>
      <c r="H159" s="113">
        <f t="shared" si="60"/>
        <v>1.3059754985187237</v>
      </c>
      <c r="I159" s="114">
        <f t="shared" si="61"/>
        <v>0.69865005376518341</v>
      </c>
      <c r="J159" s="101">
        <f t="shared" si="62"/>
        <v>1.0000156792549189</v>
      </c>
      <c r="K159" s="104">
        <f t="shared" si="63"/>
        <v>5.599830364543733E-3</v>
      </c>
      <c r="L159" s="102">
        <f t="shared" si="64"/>
        <v>1</v>
      </c>
      <c r="M159" s="103">
        <f t="shared" si="65"/>
        <v>2.9399416717781252E-10</v>
      </c>
      <c r="N159" s="101">
        <f t="shared" si="66"/>
        <v>1</v>
      </c>
      <c r="O159" s="104">
        <f t="shared" si="67"/>
        <v>4.7039066748450005E-11</v>
      </c>
      <c r="P159" s="105">
        <f t="shared" ca="1" si="68"/>
        <v>1.1165431602438323</v>
      </c>
      <c r="Q159" s="106">
        <f t="shared" ca="1" si="69"/>
        <v>0.47671454571083799</v>
      </c>
      <c r="R159" s="107">
        <f t="shared" ca="1" si="70"/>
        <v>-14.688473060141948</v>
      </c>
      <c r="S159" s="108">
        <f t="shared" ca="1" si="71"/>
        <v>-82.220438541424926</v>
      </c>
      <c r="T159" s="116">
        <f t="shared" ca="1" si="72"/>
        <v>97.779561458575074</v>
      </c>
      <c r="V159" s="72">
        <f t="shared" ca="1" si="73"/>
        <v>8912.5</v>
      </c>
      <c r="W159" s="72">
        <f t="shared" si="74"/>
        <v>79432656.25</v>
      </c>
      <c r="Y159" s="110">
        <f t="shared" si="75"/>
        <v>9.8537412968487565</v>
      </c>
      <c r="Z159" s="111">
        <f t="shared" si="76"/>
        <v>-50.205884046462806</v>
      </c>
      <c r="AA159" s="72">
        <f t="shared" si="77"/>
        <v>129.79411595353719</v>
      </c>
      <c r="AB159" s="110">
        <f t="shared" ca="1" si="78"/>
        <v>-8.6246140101091981</v>
      </c>
      <c r="AC159" s="111">
        <f t="shared" ca="1" si="79"/>
        <v>-32.014554494962084</v>
      </c>
      <c r="AD159" s="72">
        <f t="shared" ca="1" si="80"/>
        <v>147.98544550503792</v>
      </c>
    </row>
    <row r="160" spans="1:30">
      <c r="A160" s="118">
        <v>8964.4</v>
      </c>
      <c r="B160" s="101">
        <f t="shared" ca="1" si="54"/>
        <v>459.70230076379738</v>
      </c>
      <c r="C160" s="102">
        <f t="shared" ca="1" si="55"/>
        <v>1.5686210042285089</v>
      </c>
      <c r="D160" s="102">
        <f t="shared" si="56"/>
        <v>11.954632814316772</v>
      </c>
      <c r="E160" s="103">
        <f t="shared" si="57"/>
        <v>1.4870488866429075</v>
      </c>
      <c r="F160" s="101">
        <f t="shared" si="58"/>
        <v>675.90057539401664</v>
      </c>
      <c r="G160" s="104">
        <f t="shared" si="59"/>
        <v>1.5693168187115647</v>
      </c>
      <c r="H160" s="113">
        <f t="shared" si="60"/>
        <v>1.3091269680460971</v>
      </c>
      <c r="I160" s="114">
        <f t="shared" si="61"/>
        <v>0.70151108288838526</v>
      </c>
      <c r="J160" s="101">
        <f t="shared" si="62"/>
        <v>1.0000158623946025</v>
      </c>
      <c r="K160" s="104">
        <f t="shared" si="63"/>
        <v>5.6324390677161152E-3</v>
      </c>
      <c r="L160" s="102">
        <f t="shared" si="64"/>
        <v>1</v>
      </c>
      <c r="M160" s="103">
        <f t="shared" si="65"/>
        <v>2.9570617809243E-10</v>
      </c>
      <c r="N160" s="101">
        <f t="shared" si="66"/>
        <v>1</v>
      </c>
      <c r="O160" s="104">
        <f t="shared" si="67"/>
        <v>4.73129884947888E-11</v>
      </c>
      <c r="P160" s="105">
        <f t="shared" ca="1" si="68"/>
        <v>1.1178329843451407</v>
      </c>
      <c r="Q160" s="106">
        <f t="shared" ca="1" si="69"/>
        <v>0.47912406221896586</v>
      </c>
      <c r="R160" s="107">
        <f t="shared" ca="1" si="70"/>
        <v>-14.728356213633599</v>
      </c>
      <c r="S160" s="108">
        <f t="shared" ca="1" si="71"/>
        <v>-82.169845858428673</v>
      </c>
      <c r="T160" s="116">
        <f t="shared" ca="1" si="72"/>
        <v>97.830154141571327</v>
      </c>
      <c r="V160" s="72">
        <f t="shared" ca="1" si="73"/>
        <v>8964.4</v>
      </c>
      <c r="W160" s="72">
        <f t="shared" si="74"/>
        <v>80360467.359999999</v>
      </c>
      <c r="Y160" s="110">
        <f t="shared" si="75"/>
        <v>9.8242409406146756</v>
      </c>
      <c r="Z160" s="111">
        <f t="shared" si="76"/>
        <v>-50.04432112980988</v>
      </c>
      <c r="AA160" s="72">
        <f t="shared" si="77"/>
        <v>129.95567887019013</v>
      </c>
      <c r="AB160" s="110">
        <f t="shared" ca="1" si="78"/>
        <v>-8.63499680736677</v>
      </c>
      <c r="AC160" s="111">
        <f t="shared" ca="1" si="79"/>
        <v>-32.125524728618828</v>
      </c>
      <c r="AD160" s="72">
        <f t="shared" ca="1" si="80"/>
        <v>147.87447527138119</v>
      </c>
    </row>
    <row r="161" spans="1:30">
      <c r="A161" s="118">
        <v>9016.2999999999993</v>
      </c>
      <c r="B161" s="101">
        <f t="shared" ca="1" si="54"/>
        <v>462.36376576261767</v>
      </c>
      <c r="C161" s="102">
        <f t="shared" ca="1" si="55"/>
        <v>1.5686335258713229</v>
      </c>
      <c r="D161" s="102">
        <f t="shared" si="56"/>
        <v>12.02336205867228</v>
      </c>
      <c r="E161" s="103">
        <f t="shared" si="57"/>
        <v>1.4875287255371017</v>
      </c>
      <c r="F161" s="101">
        <f t="shared" si="58"/>
        <v>679.81373894065757</v>
      </c>
      <c r="G161" s="104">
        <f t="shared" si="59"/>
        <v>1.569325335105034</v>
      </c>
      <c r="H161" s="113">
        <f t="shared" si="60"/>
        <v>1.312289101896756</v>
      </c>
      <c r="I161" s="114">
        <f t="shared" si="61"/>
        <v>0.7043583471696464</v>
      </c>
      <c r="J161" s="101">
        <f t="shared" si="62"/>
        <v>1.0000160465976302</v>
      </c>
      <c r="K161" s="104">
        <f t="shared" si="63"/>
        <v>5.6650477589101191E-3</v>
      </c>
      <c r="L161" s="102">
        <f t="shared" si="64"/>
        <v>1</v>
      </c>
      <c r="M161" s="103">
        <f t="shared" si="65"/>
        <v>2.9741818900704753E-10</v>
      </c>
      <c r="N161" s="101">
        <f t="shared" si="66"/>
        <v>1</v>
      </c>
      <c r="O161" s="104">
        <f t="shared" si="67"/>
        <v>4.7586910241127602E-11</v>
      </c>
      <c r="P161" s="105">
        <f t="shared" ca="1" si="68"/>
        <v>1.1191288058830189</v>
      </c>
      <c r="Q161" s="106">
        <f t="shared" ca="1" si="69"/>
        <v>0.48152823366299247</v>
      </c>
      <c r="R161" s="107">
        <f t="shared" ca="1" si="70"/>
        <v>-14.767956884330122</v>
      </c>
      <c r="S161" s="108">
        <f t="shared" ca="1" si="71"/>
        <v>-82.12003949636896</v>
      </c>
      <c r="T161" s="116">
        <f t="shared" ca="1" si="72"/>
        <v>97.87996050363104</v>
      </c>
      <c r="V161" s="72">
        <f t="shared" ca="1" si="73"/>
        <v>9016.2999999999993</v>
      </c>
      <c r="W161" s="72">
        <f t="shared" si="74"/>
        <v>81293665.689999983</v>
      </c>
      <c r="Y161" s="110">
        <f t="shared" si="75"/>
        <v>9.795051971517502</v>
      </c>
      <c r="Z161" s="111">
        <f t="shared" si="76"/>
        <v>-49.883541196852477</v>
      </c>
      <c r="AA161" s="72">
        <f t="shared" si="77"/>
        <v>130.11645880314751</v>
      </c>
      <c r="AB161" s="110">
        <f t="shared" ca="1" si="78"/>
        <v>-8.6454085089661188</v>
      </c>
      <c r="AC161" s="111">
        <f t="shared" ca="1" si="79"/>
        <v>-32.236498299516484</v>
      </c>
      <c r="AD161" s="72">
        <f t="shared" ca="1" si="80"/>
        <v>147.76350170048352</v>
      </c>
    </row>
    <row r="162" spans="1:30">
      <c r="A162" s="118">
        <v>9068.2000000000007</v>
      </c>
      <c r="B162" s="101">
        <f t="shared" ca="1" si="54"/>
        <v>465.02523083310297</v>
      </c>
      <c r="C162" s="102">
        <f t="shared" ca="1" si="55"/>
        <v>1.5686459041846472</v>
      </c>
      <c r="D162" s="102">
        <f t="shared" si="56"/>
        <v>12.092094039881513</v>
      </c>
      <c r="E162" s="103">
        <f t="shared" si="57"/>
        <v>1.4880031096897739</v>
      </c>
      <c r="F162" s="101">
        <f t="shared" si="58"/>
        <v>683.72690253604037</v>
      </c>
      <c r="G162" s="104">
        <f t="shared" si="59"/>
        <v>1.5693337540150181</v>
      </c>
      <c r="H162" s="113">
        <f t="shared" si="60"/>
        <v>1.3154618231653523</v>
      </c>
      <c r="I162" s="114">
        <f t="shared" si="61"/>
        <v>0.70719189987465336</v>
      </c>
      <c r="J162" s="101">
        <f t="shared" si="62"/>
        <v>1.0000162318640011</v>
      </c>
      <c r="K162" s="104">
        <f t="shared" si="63"/>
        <v>5.6976564380564068E-3</v>
      </c>
      <c r="L162" s="102">
        <f t="shared" si="64"/>
        <v>1</v>
      </c>
      <c r="M162" s="103">
        <f t="shared" si="65"/>
        <v>2.9913019992166506E-10</v>
      </c>
      <c r="N162" s="101">
        <f t="shared" si="66"/>
        <v>1</v>
      </c>
      <c r="O162" s="104">
        <f t="shared" si="67"/>
        <v>4.786083198746641E-11</v>
      </c>
      <c r="P162" s="105">
        <f t="shared" ca="1" si="68"/>
        <v>1.1204306041832719</v>
      </c>
      <c r="Q162" s="106">
        <f t="shared" ca="1" si="69"/>
        <v>0.483927053919609</v>
      </c>
      <c r="R162" s="107">
        <f t="shared" ca="1" si="70"/>
        <v>-14.807279032636476</v>
      </c>
      <c r="S162" s="108">
        <f t="shared" ca="1" si="71"/>
        <v>-82.071010884716074</v>
      </c>
      <c r="T162" s="116">
        <f t="shared" ca="1" si="72"/>
        <v>97.928989115283926</v>
      </c>
      <c r="V162" s="72">
        <f t="shared" ca="1" si="73"/>
        <v>9068.2000000000007</v>
      </c>
      <c r="W162" s="72">
        <f t="shared" si="74"/>
        <v>82232251.24000001</v>
      </c>
      <c r="Y162" s="110">
        <f t="shared" si="75"/>
        <v>9.7661702719966126</v>
      </c>
      <c r="Z162" s="111">
        <f t="shared" si="76"/>
        <v>-49.723541293263246</v>
      </c>
      <c r="AA162" s="72">
        <f t="shared" si="77"/>
        <v>130.27645870673675</v>
      </c>
      <c r="AB162" s="110">
        <f t="shared" ca="1" si="78"/>
        <v>-8.6558489577515836</v>
      </c>
      <c r="AC162" s="111">
        <f t="shared" ca="1" si="79"/>
        <v>-32.34746959145285</v>
      </c>
      <c r="AD162" s="72">
        <f t="shared" ca="1" si="80"/>
        <v>147.65253040854714</v>
      </c>
    </row>
    <row r="163" spans="1:30">
      <c r="A163" s="118">
        <v>9120.1</v>
      </c>
      <c r="B163" s="101">
        <f t="shared" ca="1" si="54"/>
        <v>467.68669597402965</v>
      </c>
      <c r="C163" s="102">
        <f t="shared" ca="1" si="55"/>
        <v>1.5686581416154135</v>
      </c>
      <c r="D163" s="102">
        <f t="shared" si="56"/>
        <v>12.160828711539066</v>
      </c>
      <c r="E163" s="103">
        <f t="shared" si="57"/>
        <v>1.4884721313784237</v>
      </c>
      <c r="F163" s="101">
        <f t="shared" si="58"/>
        <v>687.64006617933285</v>
      </c>
      <c r="G163" s="104">
        <f t="shared" si="59"/>
        <v>1.5693420771057678</v>
      </c>
      <c r="H163" s="113">
        <f t="shared" si="60"/>
        <v>1.3186450554304296</v>
      </c>
      <c r="I163" s="114">
        <f t="shared" si="61"/>
        <v>0.71001179463804276</v>
      </c>
      <c r="J163" s="101">
        <f t="shared" si="62"/>
        <v>1.000016418193715</v>
      </c>
      <c r="K163" s="104">
        <f t="shared" si="63"/>
        <v>5.7302651050856355E-3</v>
      </c>
      <c r="L163" s="102">
        <f t="shared" si="64"/>
        <v>1</v>
      </c>
      <c r="M163" s="103">
        <f t="shared" si="65"/>
        <v>3.0084221083628253E-10</v>
      </c>
      <c r="N163" s="101">
        <f t="shared" si="66"/>
        <v>1</v>
      </c>
      <c r="O163" s="104">
        <f t="shared" si="67"/>
        <v>4.8134753733805205E-11</v>
      </c>
      <c r="P163" s="105">
        <f t="shared" ca="1" si="68"/>
        <v>1.1217383585726945</v>
      </c>
      <c r="Q163" s="106">
        <f t="shared" ca="1" si="69"/>
        <v>0.48632051712138435</v>
      </c>
      <c r="R163" s="107">
        <f t="shared" ca="1" si="70"/>
        <v>-14.846326548976457</v>
      </c>
      <c r="S163" s="108">
        <f t="shared" ca="1" si="71"/>
        <v>-82.022751562690971</v>
      </c>
      <c r="T163" s="116">
        <f t="shared" ca="1" si="72"/>
        <v>97.977248437309029</v>
      </c>
      <c r="V163" s="72">
        <f t="shared" ca="1" si="73"/>
        <v>9120.1</v>
      </c>
      <c r="W163" s="72">
        <f t="shared" si="74"/>
        <v>83176224.010000005</v>
      </c>
      <c r="Y163" s="110">
        <f t="shared" si="75"/>
        <v>9.7375917912489154</v>
      </c>
      <c r="Z163" s="111">
        <f t="shared" si="76"/>
        <v>-49.564318441354445</v>
      </c>
      <c r="AA163" s="72">
        <f t="shared" si="77"/>
        <v>130.43568155864557</v>
      </c>
      <c r="AB163" s="110">
        <f t="shared" ca="1" si="78"/>
        <v>-8.6663179933438652</v>
      </c>
      <c r="AC163" s="111">
        <f t="shared" ca="1" si="79"/>
        <v>-32.458433121336505</v>
      </c>
      <c r="AD163" s="72">
        <f t="shared" ca="1" si="80"/>
        <v>147.5415668786635</v>
      </c>
    </row>
    <row r="164" spans="1:30">
      <c r="A164" s="118">
        <v>9173.2000000000007</v>
      </c>
      <c r="B164" s="101">
        <f t="shared" ca="1" si="54"/>
        <v>470.40969795287691</v>
      </c>
      <c r="C164" s="102">
        <f t="shared" ca="1" si="55"/>
        <v>1.5686705186801215</v>
      </c>
      <c r="D164" s="102">
        <f t="shared" si="56"/>
        <v>12.231155361332542</v>
      </c>
      <c r="E164" s="103">
        <f t="shared" si="57"/>
        <v>1.4889465416930869</v>
      </c>
      <c r="F164" s="101">
        <f t="shared" si="58"/>
        <v>691.6437076434604</v>
      </c>
      <c r="G164" s="104">
        <f t="shared" si="59"/>
        <v>1.5693504951660482</v>
      </c>
      <c r="H164" s="113">
        <f t="shared" si="60"/>
        <v>1.3219126875967881</v>
      </c>
      <c r="I164" s="114">
        <f t="shared" si="61"/>
        <v>0.71288281030935818</v>
      </c>
      <c r="J164" s="101">
        <f t="shared" si="62"/>
        <v>1.0000166099321357</v>
      </c>
      <c r="K164" s="104">
        <f t="shared" si="63"/>
        <v>5.763627717121177E-3</v>
      </c>
      <c r="L164" s="102">
        <f t="shared" si="64"/>
        <v>1</v>
      </c>
      <c r="M164" s="103">
        <f t="shared" si="65"/>
        <v>3.0259380581829005E-10</v>
      </c>
      <c r="N164" s="101">
        <f t="shared" si="66"/>
        <v>1</v>
      </c>
      <c r="O164" s="104">
        <f t="shared" si="67"/>
        <v>4.8415008930926406E-11</v>
      </c>
      <c r="P164" s="105">
        <f t="shared" ca="1" si="68"/>
        <v>1.1230824927501939</v>
      </c>
      <c r="Q164" s="106">
        <f t="shared" ca="1" si="69"/>
        <v>0.48876377037931634</v>
      </c>
      <c r="R164" s="107">
        <f t="shared" ca="1" si="70"/>
        <v>-14.885996653481111</v>
      </c>
      <c r="S164" s="108">
        <f t="shared" ca="1" si="71"/>
        <v>-81.974163882601715</v>
      </c>
      <c r="T164" s="116">
        <f t="shared" ca="1" si="72"/>
        <v>98.025836117398285</v>
      </c>
      <c r="V164" s="72">
        <f t="shared" ca="1" si="73"/>
        <v>9173.2000000000007</v>
      </c>
      <c r="W164" s="72">
        <f t="shared" si="74"/>
        <v>84147598.24000001</v>
      </c>
      <c r="Y164" s="110">
        <f t="shared" si="75"/>
        <v>9.7086621963716446</v>
      </c>
      <c r="Z164" s="111">
        <f t="shared" si="76"/>
        <v>-49.402215216391532</v>
      </c>
      <c r="AA164" s="72">
        <f t="shared" si="77"/>
        <v>130.59778478360846</v>
      </c>
      <c r="AB164" s="110">
        <f t="shared" ca="1" si="78"/>
        <v>-8.677058502971251</v>
      </c>
      <c r="AC164" s="111">
        <f t="shared" ca="1" si="79"/>
        <v>-32.571948666210169</v>
      </c>
      <c r="AD164" s="72">
        <f t="shared" ca="1" si="80"/>
        <v>147.42805133378982</v>
      </c>
    </row>
    <row r="165" spans="1:30">
      <c r="A165" s="118">
        <v>9226.2999999999993</v>
      </c>
      <c r="B165" s="101">
        <f t="shared" ca="1" si="54"/>
        <v>473.13270000295745</v>
      </c>
      <c r="C165" s="102">
        <f t="shared" ca="1" si="55"/>
        <v>1.5686827532783625</v>
      </c>
      <c r="D165" s="102">
        <f t="shared" si="56"/>
        <v>12.301484732457256</v>
      </c>
      <c r="E165" s="103">
        <f t="shared" si="57"/>
        <v>1.4894155275672445</v>
      </c>
      <c r="F165" s="101">
        <f t="shared" si="58"/>
        <v>695.64734915603628</v>
      </c>
      <c r="G165" s="104">
        <f t="shared" si="59"/>
        <v>1.5693588163298322</v>
      </c>
      <c r="H165" s="113">
        <f t="shared" si="60"/>
        <v>1.3251911621464163</v>
      </c>
      <c r="I165" s="114">
        <f t="shared" si="61"/>
        <v>0.71573964385604083</v>
      </c>
      <c r="J165" s="101">
        <f t="shared" si="62"/>
        <v>1.0000168027836382</v>
      </c>
      <c r="K165" s="104">
        <f t="shared" si="63"/>
        <v>5.7969903163260098E-3</v>
      </c>
      <c r="L165" s="102">
        <f t="shared" si="64"/>
        <v>1</v>
      </c>
      <c r="M165" s="103">
        <f t="shared" si="65"/>
        <v>3.0434540080029752E-10</v>
      </c>
      <c r="N165" s="101">
        <f t="shared" si="66"/>
        <v>1</v>
      </c>
      <c r="O165" s="104">
        <f t="shared" si="67"/>
        <v>4.8695264128047601E-11</v>
      </c>
      <c r="P165" s="105">
        <f t="shared" ca="1" si="68"/>
        <v>1.1244328178541014</v>
      </c>
      <c r="Q165" s="106">
        <f t="shared" ca="1" si="69"/>
        <v>0.49120140437960946</v>
      </c>
      <c r="R165" s="107">
        <f t="shared" ca="1" si="70"/>
        <v>-14.925387300554293</v>
      </c>
      <c r="S165" s="108">
        <f t="shared" ca="1" si="71"/>
        <v>-81.926363900977108</v>
      </c>
      <c r="T165" s="116">
        <f t="shared" ca="1" si="72"/>
        <v>98.073636099022892</v>
      </c>
      <c r="V165" s="72">
        <f t="shared" ca="1" si="73"/>
        <v>9226.2999999999993</v>
      </c>
      <c r="W165" s="72">
        <f t="shared" si="74"/>
        <v>85124611.689999983</v>
      </c>
      <c r="Y165" s="110">
        <f t="shared" si="75"/>
        <v>9.6800416336023183</v>
      </c>
      <c r="Z165" s="111">
        <f t="shared" si="76"/>
        <v>-49.240919014820101</v>
      </c>
      <c r="AA165" s="72">
        <f t="shared" si="77"/>
        <v>130.75908098517991</v>
      </c>
      <c r="AB165" s="110">
        <f t="shared" ca="1" si="78"/>
        <v>-8.68782858727511</v>
      </c>
      <c r="AC165" s="111">
        <f t="shared" ca="1" si="79"/>
        <v>-32.685444886157001</v>
      </c>
      <c r="AD165" s="72">
        <f t="shared" ca="1" si="80"/>
        <v>147.314555113843</v>
      </c>
    </row>
    <row r="166" spans="1:30">
      <c r="A166" s="118">
        <v>9279.4</v>
      </c>
      <c r="B166" s="101">
        <f t="shared" ca="1" si="54"/>
        <v>475.85570212304867</v>
      </c>
      <c r="C166" s="102">
        <f t="shared" ca="1" si="55"/>
        <v>1.5686948478558518</v>
      </c>
      <c r="D166" s="102">
        <f t="shared" si="56"/>
        <v>12.371816778503824</v>
      </c>
      <c r="E166" s="103">
        <f t="shared" si="57"/>
        <v>1.4898791813043661</v>
      </c>
      <c r="F166" s="101">
        <f t="shared" si="58"/>
        <v>699.65099071622899</v>
      </c>
      <c r="G166" s="104">
        <f t="shared" si="59"/>
        <v>1.5693670422605432</v>
      </c>
      <c r="H166" s="113">
        <f t="shared" si="60"/>
        <v>1.3284803988075768</v>
      </c>
      <c r="I166" s="114">
        <f t="shared" si="61"/>
        <v>0.71858235381580771</v>
      </c>
      <c r="J166" s="101">
        <f t="shared" si="62"/>
        <v>1.0000169967482222</v>
      </c>
      <c r="K166" s="104">
        <f t="shared" si="63"/>
        <v>5.8303529026258729E-3</v>
      </c>
      <c r="L166" s="102">
        <f t="shared" si="64"/>
        <v>1</v>
      </c>
      <c r="M166" s="103">
        <f t="shared" si="65"/>
        <v>3.0609699578230504E-10</v>
      </c>
      <c r="N166" s="101">
        <f t="shared" si="66"/>
        <v>1</v>
      </c>
      <c r="O166" s="104">
        <f t="shared" si="67"/>
        <v>4.8975519325168802E-11</v>
      </c>
      <c r="P166" s="105">
        <f t="shared" ca="1" si="68"/>
        <v>1.1257893117541644</v>
      </c>
      <c r="Q166" s="106">
        <f t="shared" ca="1" si="69"/>
        <v>0.49363341365747326</v>
      </c>
      <c r="R166" s="107">
        <f t="shared" ca="1" si="70"/>
        <v>-14.964502439002228</v>
      </c>
      <c r="S166" s="108">
        <f t="shared" ca="1" si="71"/>
        <v>-81.879342897576421</v>
      </c>
      <c r="T166" s="116">
        <f t="shared" ca="1" si="72"/>
        <v>98.120657102423579</v>
      </c>
      <c r="V166" s="72">
        <f t="shared" ca="1" si="73"/>
        <v>9279.4</v>
      </c>
      <c r="W166" s="72">
        <f t="shared" si="74"/>
        <v>86107264.359999999</v>
      </c>
      <c r="Y166" s="110">
        <f t="shared" si="75"/>
        <v>9.6517259728414579</v>
      </c>
      <c r="Z166" s="111">
        <f t="shared" si="76"/>
        <v>-49.080426577978891</v>
      </c>
      <c r="AA166" s="72">
        <f t="shared" si="77"/>
        <v>130.9195734220211</v>
      </c>
      <c r="AB166" s="110">
        <f t="shared" ca="1" si="78"/>
        <v>-8.6986280649621825</v>
      </c>
      <c r="AC166" s="111">
        <f t="shared" ca="1" si="79"/>
        <v>-32.798916319597517</v>
      </c>
      <c r="AD166" s="72">
        <f t="shared" ca="1" si="80"/>
        <v>147.20108368040249</v>
      </c>
    </row>
    <row r="167" spans="1:30">
      <c r="A167" s="118">
        <v>9332.5</v>
      </c>
      <c r="B167" s="101">
        <f t="shared" ca="1" si="54"/>
        <v>478.57870431195533</v>
      </c>
      <c r="C167" s="102">
        <f t="shared" ca="1" si="55"/>
        <v>1.5687068048026431</v>
      </c>
      <c r="D167" s="102">
        <f t="shared" si="56"/>
        <v>12.442151454110455</v>
      </c>
      <c r="E167" s="103">
        <f t="shared" si="57"/>
        <v>1.4903375931300693</v>
      </c>
      <c r="F167" s="101">
        <f t="shared" si="58"/>
        <v>703.65463232322531</v>
      </c>
      <c r="G167" s="104">
        <f t="shared" si="59"/>
        <v>1.5693751745837463</v>
      </c>
      <c r="H167" s="113">
        <f t="shared" si="60"/>
        <v>1.3317803178393466</v>
      </c>
      <c r="I167" s="114">
        <f t="shared" si="61"/>
        <v>0.72141099906208894</v>
      </c>
      <c r="J167" s="101">
        <f t="shared" si="62"/>
        <v>1.0000171918258869</v>
      </c>
      <c r="K167" s="104">
        <f t="shared" si="63"/>
        <v>5.8637154759465038E-3</v>
      </c>
      <c r="L167" s="102">
        <f t="shared" si="64"/>
        <v>1</v>
      </c>
      <c r="M167" s="103">
        <f t="shared" si="65"/>
        <v>3.0784859076431251E-10</v>
      </c>
      <c r="N167" s="101">
        <f t="shared" si="66"/>
        <v>1</v>
      </c>
      <c r="O167" s="104">
        <f t="shared" si="67"/>
        <v>4.9255774522290004E-11</v>
      </c>
      <c r="P167" s="105">
        <f t="shared" ca="1" si="68"/>
        <v>1.1271519523259825</v>
      </c>
      <c r="Q167" s="106">
        <f t="shared" ca="1" si="69"/>
        <v>0.49605979301999881</v>
      </c>
      <c r="R167" s="107">
        <f t="shared" ca="1" si="70"/>
        <v>-15.003345947344384</v>
      </c>
      <c r="S167" s="108">
        <f t="shared" ca="1" si="71"/>
        <v>-81.833092262195436</v>
      </c>
      <c r="T167" s="116">
        <f t="shared" ca="1" si="72"/>
        <v>98.166907737804564</v>
      </c>
      <c r="V167" s="72">
        <f t="shared" ca="1" si="73"/>
        <v>9332.5</v>
      </c>
      <c r="W167" s="72">
        <f t="shared" si="74"/>
        <v>87095556.25</v>
      </c>
      <c r="Y167" s="110">
        <f t="shared" si="75"/>
        <v>9.6237111513644784</v>
      </c>
      <c r="Z167" s="111">
        <f t="shared" si="76"/>
        <v>-48.920734625802595</v>
      </c>
      <c r="AA167" s="72">
        <f t="shared" si="77"/>
        <v>131.0792653741974</v>
      </c>
      <c r="AB167" s="110">
        <f t="shared" ca="1" si="78"/>
        <v>-8.7094567518273553</v>
      </c>
      <c r="AC167" s="111">
        <f t="shared" ca="1" si="79"/>
        <v>-32.912357636392812</v>
      </c>
      <c r="AD167" s="72">
        <f t="shared" ca="1" si="80"/>
        <v>147.08764236360719</v>
      </c>
    </row>
    <row r="168" spans="1:30">
      <c r="A168" s="118">
        <v>9386.85</v>
      </c>
      <c r="B168" s="101">
        <f t="shared" ca="1" si="54"/>
        <v>481.36580737573126</v>
      </c>
      <c r="C168" s="102">
        <f t="shared" ca="1" si="55"/>
        <v>1.5687189031308986</v>
      </c>
      <c r="D168" s="102">
        <f t="shared" si="56"/>
        <v>12.51414451928421</v>
      </c>
      <c r="E168" s="103">
        <f t="shared" si="57"/>
        <v>1.4908014597845018</v>
      </c>
      <c r="F168" s="101">
        <f t="shared" si="58"/>
        <v>707.75252166164262</v>
      </c>
      <c r="G168" s="104">
        <f t="shared" si="59"/>
        <v>1.5693834030650342</v>
      </c>
      <c r="H168" s="113">
        <f t="shared" si="60"/>
        <v>1.3351688984441337</v>
      </c>
      <c r="I168" s="114">
        <f t="shared" si="61"/>
        <v>0.72429172853864809</v>
      </c>
      <c r="J168" s="101">
        <f t="shared" si="62"/>
        <v>1.0000173926484672</v>
      </c>
      <c r="K168" s="104">
        <f t="shared" si="63"/>
        <v>5.8978634070601822E-3</v>
      </c>
      <c r="L168" s="102">
        <f t="shared" si="64"/>
        <v>1</v>
      </c>
      <c r="M168" s="103">
        <f t="shared" si="65"/>
        <v>3.0964141914985132E-10</v>
      </c>
      <c r="N168" s="101">
        <f t="shared" si="66"/>
        <v>1</v>
      </c>
      <c r="O168" s="104">
        <f t="shared" si="67"/>
        <v>4.9542627063976206E-11</v>
      </c>
      <c r="P168" s="105">
        <f t="shared" ca="1" si="68"/>
        <v>1.128553012458257</v>
      </c>
      <c r="Q168" s="106">
        <f t="shared" ca="1" si="69"/>
        <v>0.49853745513229863</v>
      </c>
      <c r="R168" s="107">
        <f t="shared" ca="1" si="70"/>
        <v>-15.0428265299307</v>
      </c>
      <c r="S168" s="108">
        <f t="shared" ca="1" si="71"/>
        <v>-81.786541774398302</v>
      </c>
      <c r="T168" s="116">
        <f t="shared" ca="1" si="72"/>
        <v>98.213458225601698</v>
      </c>
      <c r="V168" s="72">
        <f t="shared" ca="1" si="73"/>
        <v>9386.85</v>
      </c>
      <c r="W168" s="72">
        <f t="shared" si="74"/>
        <v>88112952.922499999</v>
      </c>
      <c r="Y168" s="110">
        <f t="shared" si="75"/>
        <v>9.5953442217393512</v>
      </c>
      <c r="Z168" s="111">
        <f t="shared" si="76"/>
        <v>-48.758108974186236</v>
      </c>
      <c r="AA168" s="72">
        <f t="shared" si="77"/>
        <v>131.24189102581377</v>
      </c>
      <c r="AB168" s="110">
        <f t="shared" ca="1" si="78"/>
        <v>-8.7205704047885462</v>
      </c>
      <c r="AC168" s="111">
        <f t="shared" ca="1" si="79"/>
        <v>-33.028432800212073</v>
      </c>
      <c r="AD168" s="72">
        <f t="shared" ca="1" si="80"/>
        <v>146.97156719978793</v>
      </c>
    </row>
    <row r="169" spans="1:30">
      <c r="A169" s="118">
        <v>9441.2000000000007</v>
      </c>
      <c r="B169" s="101">
        <f t="shared" ca="1" si="54"/>
        <v>484.15291050915329</v>
      </c>
      <c r="C169" s="102">
        <f t="shared" ca="1" si="55"/>
        <v>1.5687308621672591</v>
      </c>
      <c r="D169" s="102">
        <f t="shared" si="56"/>
        <v>12.586140246349952</v>
      </c>
      <c r="E169" s="103">
        <f t="shared" si="57"/>
        <v>1.4912600196806483</v>
      </c>
      <c r="F169" s="101">
        <f t="shared" si="58"/>
        <v>711.85041104742868</v>
      </c>
      <c r="G169" s="104">
        <f t="shared" si="59"/>
        <v>1.5693915368089859</v>
      </c>
      <c r="H169" s="113">
        <f t="shared" si="60"/>
        <v>1.3385685029330268</v>
      </c>
      <c r="I169" s="114">
        <f t="shared" si="61"/>
        <v>0.72715784914122672</v>
      </c>
      <c r="J169" s="101">
        <f t="shared" si="62"/>
        <v>1.0000175946371488</v>
      </c>
      <c r="K169" s="104">
        <f t="shared" si="63"/>
        <v>5.932011324418931E-3</v>
      </c>
      <c r="L169" s="102">
        <f t="shared" si="64"/>
        <v>1</v>
      </c>
      <c r="M169" s="103">
        <f t="shared" si="65"/>
        <v>3.1143424753539007E-10</v>
      </c>
      <c r="N169" s="101">
        <f t="shared" si="66"/>
        <v>1</v>
      </c>
      <c r="O169" s="104">
        <f t="shared" si="67"/>
        <v>4.9829479605662408E-11</v>
      </c>
      <c r="P169" s="105">
        <f t="shared" ca="1" si="68"/>
        <v>1.1299604651814104</v>
      </c>
      <c r="Q169" s="106">
        <f t="shared" ca="1" si="69"/>
        <v>0.50100920900194545</v>
      </c>
      <c r="R169" s="107">
        <f t="shared" ca="1" si="70"/>
        <v>-15.082030546381912</v>
      </c>
      <c r="S169" s="108">
        <f t="shared" ca="1" si="71"/>
        <v>-81.740780441233596</v>
      </c>
      <c r="T169" s="116">
        <f t="shared" ca="1" si="72"/>
        <v>98.259219558766404</v>
      </c>
      <c r="V169" s="72">
        <f t="shared" ca="1" si="73"/>
        <v>9441.2000000000007</v>
      </c>
      <c r="W169" s="72">
        <f t="shared" si="74"/>
        <v>89136257.440000013</v>
      </c>
      <c r="Y169" s="110">
        <f t="shared" si="75"/>
        <v>9.5672840595741011</v>
      </c>
      <c r="Z169" s="111">
        <f t="shared" si="76"/>
        <v>-48.596314920555727</v>
      </c>
      <c r="AA169" s="72">
        <f t="shared" si="77"/>
        <v>131.40368507944427</v>
      </c>
      <c r="AB169" s="110">
        <f t="shared" ca="1" si="78"/>
        <v>-8.7317142590745096</v>
      </c>
      <c r="AC169" s="111">
        <f t="shared" ca="1" si="79"/>
        <v>-33.144465520677912</v>
      </c>
      <c r="AD169" s="72">
        <f t="shared" ca="1" si="80"/>
        <v>146.8555344793221</v>
      </c>
    </row>
    <row r="170" spans="1:30">
      <c r="A170" s="118">
        <v>9495.5499999999993</v>
      </c>
      <c r="B170" s="101">
        <f t="shared" ca="1" si="54"/>
        <v>486.94001371102536</v>
      </c>
      <c r="C170" s="102">
        <f t="shared" ca="1" si="55"/>
        <v>1.5687426843035204</v>
      </c>
      <c r="D170" s="102">
        <f t="shared" si="56"/>
        <v>12.658138589887528</v>
      </c>
      <c r="E170" s="103">
        <f t="shared" si="57"/>
        <v>1.4917133631770734</v>
      </c>
      <c r="F170" s="101">
        <f t="shared" si="58"/>
        <v>715.94830047976996</v>
      </c>
      <c r="G170" s="104">
        <f t="shared" si="59"/>
        <v>1.5693995774423506</v>
      </c>
      <c r="H170" s="113">
        <f t="shared" si="60"/>
        <v>1.3419790475263755</v>
      </c>
      <c r="I170" s="114">
        <f t="shared" si="61"/>
        <v>0.73000942498495225</v>
      </c>
      <c r="J170" s="101">
        <f t="shared" si="62"/>
        <v>1.0000177977919305</v>
      </c>
      <c r="K170" s="104">
        <f t="shared" si="63"/>
        <v>5.9661592279431196E-3</v>
      </c>
      <c r="L170" s="102">
        <f t="shared" si="64"/>
        <v>1</v>
      </c>
      <c r="M170" s="103">
        <f t="shared" si="65"/>
        <v>3.1322707592092878E-10</v>
      </c>
      <c r="N170" s="101">
        <f t="shared" si="66"/>
        <v>1</v>
      </c>
      <c r="O170" s="104">
        <f t="shared" si="67"/>
        <v>5.0116332147348597E-11</v>
      </c>
      <c r="P170" s="105">
        <f t="shared" ca="1" si="68"/>
        <v>1.1313742867982077</v>
      </c>
      <c r="Q170" s="106">
        <f t="shared" ca="1" si="69"/>
        <v>0.50347504993114278</v>
      </c>
      <c r="R170" s="107">
        <f t="shared" ca="1" si="70"/>
        <v>-15.12096193659572</v>
      </c>
      <c r="S170" s="108">
        <f t="shared" ca="1" si="71"/>
        <v>-81.695799373087922</v>
      </c>
      <c r="T170" s="116">
        <f t="shared" ca="1" si="72"/>
        <v>98.304200626912078</v>
      </c>
      <c r="V170" s="72">
        <f t="shared" ca="1" si="73"/>
        <v>9495.5499999999993</v>
      </c>
      <c r="W170" s="72">
        <f t="shared" si="74"/>
        <v>90165469.80249998</v>
      </c>
      <c r="Y170" s="110">
        <f t="shared" si="75"/>
        <v>9.5395265188871967</v>
      </c>
      <c r="Z170" s="111">
        <f t="shared" si="76"/>
        <v>-48.435348884586141</v>
      </c>
      <c r="AA170" s="72">
        <f t="shared" si="77"/>
        <v>131.56465111541385</v>
      </c>
      <c r="AB170" s="110">
        <f t="shared" ca="1" si="78"/>
        <v>-8.742888108601413</v>
      </c>
      <c r="AC170" s="111">
        <f t="shared" ca="1" si="79"/>
        <v>-33.260450488501789</v>
      </c>
      <c r="AD170" s="72">
        <f t="shared" ca="1" si="80"/>
        <v>146.73954951149821</v>
      </c>
    </row>
    <row r="171" spans="1:30">
      <c r="A171" s="118">
        <v>9549.9</v>
      </c>
      <c r="B171" s="101">
        <f t="shared" ca="1" si="54"/>
        <v>489.72711698017906</v>
      </c>
      <c r="C171" s="102">
        <f t="shared" ca="1" si="55"/>
        <v>1.56875437187703</v>
      </c>
      <c r="D171" s="102">
        <f t="shared" si="56"/>
        <v>12.730139505502704</v>
      </c>
      <c r="E171" s="103">
        <f t="shared" si="57"/>
        <v>1.4921615785967799</v>
      </c>
      <c r="F171" s="101">
        <f t="shared" si="58"/>
        <v>720.04618995787166</v>
      </c>
      <c r="G171" s="104">
        <f t="shared" si="59"/>
        <v>1.5694075265548459</v>
      </c>
      <c r="H171" s="113">
        <f t="shared" si="60"/>
        <v>1.3454004490258</v>
      </c>
      <c r="I171" s="114">
        <f t="shared" si="61"/>
        <v>0.73284652048205567</v>
      </c>
      <c r="J171" s="101">
        <f t="shared" si="62"/>
        <v>1.0000180021128118</v>
      </c>
      <c r="K171" s="104">
        <f t="shared" si="63"/>
        <v>6.0003071175531207E-3</v>
      </c>
      <c r="L171" s="102">
        <f t="shared" si="64"/>
        <v>1</v>
      </c>
      <c r="M171" s="103">
        <f t="shared" si="65"/>
        <v>3.1501990430646753E-10</v>
      </c>
      <c r="N171" s="101">
        <f t="shared" si="66"/>
        <v>1</v>
      </c>
      <c r="O171" s="104">
        <f t="shared" si="67"/>
        <v>5.0403184689034798E-11</v>
      </c>
      <c r="P171" s="105">
        <f t="shared" ca="1" si="68"/>
        <v>1.1327944536229528</v>
      </c>
      <c r="Q171" s="106">
        <f t="shared" ca="1" si="69"/>
        <v>0.50593497351075079</v>
      </c>
      <c r="R171" s="107">
        <f t="shared" ca="1" si="70"/>
        <v>-15.159624569761148</v>
      </c>
      <c r="S171" s="108">
        <f t="shared" ca="1" si="71"/>
        <v>-81.651589791251538</v>
      </c>
      <c r="T171" s="116">
        <f t="shared" ca="1" si="72"/>
        <v>98.348410208748462</v>
      </c>
      <c r="V171" s="72">
        <f t="shared" ca="1" si="73"/>
        <v>9549.9</v>
      </c>
      <c r="W171" s="72">
        <f t="shared" si="74"/>
        <v>91200590.00999999</v>
      </c>
      <c r="Y171" s="110">
        <f t="shared" si="75"/>
        <v>9.5120675218103159</v>
      </c>
      <c r="Z171" s="111">
        <f t="shared" si="76"/>
        <v>-48.27520726680806</v>
      </c>
      <c r="AA171" s="72">
        <f t="shared" si="77"/>
        <v>131.72479273319195</v>
      </c>
      <c r="AB171" s="110">
        <f t="shared" ca="1" si="78"/>
        <v>-8.7540917446899602</v>
      </c>
      <c r="AC171" s="111">
        <f t="shared" ca="1" si="79"/>
        <v>-33.3763825244435</v>
      </c>
      <c r="AD171" s="72">
        <f t="shared" ca="1" si="80"/>
        <v>146.6236174755565</v>
      </c>
    </row>
    <row r="172" spans="1:30">
      <c r="A172" s="118">
        <v>9605.5249999999996</v>
      </c>
      <c r="B172" s="101">
        <f t="shared" ca="1" si="54"/>
        <v>492.57960314518976</v>
      </c>
      <c r="C172" s="102">
        <f t="shared" ca="1" si="55"/>
        <v>1.5687661966788302</v>
      </c>
      <c r="D172" s="102">
        <f t="shared" si="56"/>
        <v>12.803832113046838</v>
      </c>
      <c r="E172" s="103">
        <f t="shared" si="57"/>
        <v>1.4926150888857705</v>
      </c>
      <c r="F172" s="101">
        <f t="shared" si="58"/>
        <v>724.24021212439686</v>
      </c>
      <c r="G172" s="104">
        <f t="shared" si="59"/>
        <v>1.5694155690007174</v>
      </c>
      <c r="H172" s="113">
        <f t="shared" si="60"/>
        <v>1.3489132691135526</v>
      </c>
      <c r="I172" s="114">
        <f t="shared" si="61"/>
        <v>0.73573524521503209</v>
      </c>
      <c r="J172" s="101">
        <f t="shared" si="62"/>
        <v>1.0000182124343222</v>
      </c>
      <c r="K172" s="104">
        <f t="shared" si="63"/>
        <v>6.0352560701195379E-3</v>
      </c>
      <c r="L172" s="102">
        <f t="shared" si="64"/>
        <v>1</v>
      </c>
      <c r="M172" s="103">
        <f t="shared" si="65"/>
        <v>3.1685479076360815E-10</v>
      </c>
      <c r="N172" s="101">
        <f t="shared" si="66"/>
        <v>1</v>
      </c>
      <c r="O172" s="104">
        <f t="shared" si="67"/>
        <v>5.0696766522177301E-11</v>
      </c>
      <c r="P172" s="105">
        <f t="shared" ca="1" si="68"/>
        <v>1.1342544817576039</v>
      </c>
      <c r="Q172" s="106">
        <f t="shared" ca="1" si="69"/>
        <v>0.5084464730873669</v>
      </c>
      <c r="R172" s="107">
        <f t="shared" ca="1" si="70"/>
        <v>-15.198919868952661</v>
      </c>
      <c r="S172" s="108">
        <f t="shared" ca="1" si="71"/>
        <v>-81.607132893124472</v>
      </c>
      <c r="T172" s="116">
        <f t="shared" ca="1" si="72"/>
        <v>98.392867106875528</v>
      </c>
      <c r="V172" s="72">
        <f t="shared" ca="1" si="73"/>
        <v>9605.5249999999996</v>
      </c>
      <c r="W172" s="72">
        <f t="shared" si="74"/>
        <v>92266110.52562499</v>
      </c>
      <c r="Y172" s="110">
        <f t="shared" si="75"/>
        <v>9.4842693080538343</v>
      </c>
      <c r="Z172" s="111">
        <f t="shared" si="76"/>
        <v>-48.112158756844693</v>
      </c>
      <c r="AA172" s="72">
        <f t="shared" si="77"/>
        <v>131.88784124315532</v>
      </c>
      <c r="AB172" s="110">
        <f t="shared" ca="1" si="78"/>
        <v>-8.7655888301249938</v>
      </c>
      <c r="AC172" s="111">
        <f t="shared" ca="1" si="79"/>
        <v>-33.494974136279808</v>
      </c>
      <c r="AD172" s="72">
        <f t="shared" ca="1" si="80"/>
        <v>146.50502586372019</v>
      </c>
    </row>
    <row r="173" spans="1:30">
      <c r="A173" s="118">
        <v>9661.15</v>
      </c>
      <c r="B173" s="101">
        <f t="shared" ca="1" si="54"/>
        <v>495.4320893782828</v>
      </c>
      <c r="C173" s="102">
        <f t="shared" ca="1" si="55"/>
        <v>1.5687778853163221</v>
      </c>
      <c r="D173" s="102">
        <f t="shared" si="56"/>
        <v>12.87752732383559</v>
      </c>
      <c r="E173" s="103">
        <f t="shared" si="57"/>
        <v>1.4930634085900387</v>
      </c>
      <c r="F173" s="101">
        <f t="shared" si="58"/>
        <v>728.43423433722705</v>
      </c>
      <c r="G173" s="104">
        <f t="shared" si="59"/>
        <v>1.5694235188364538</v>
      </c>
      <c r="H173" s="113">
        <f t="shared" si="60"/>
        <v>1.352437286990176</v>
      </c>
      <c r="I173" s="114">
        <f t="shared" si="61"/>
        <v>0.73860893964370733</v>
      </c>
      <c r="J173" s="101">
        <f t="shared" si="62"/>
        <v>1.0000184239772838</v>
      </c>
      <c r="K173" s="104">
        <f t="shared" si="63"/>
        <v>6.0702050079425038E-3</v>
      </c>
      <c r="L173" s="102">
        <f t="shared" si="64"/>
        <v>1</v>
      </c>
      <c r="M173" s="103">
        <f t="shared" si="65"/>
        <v>3.1868967722074876E-10</v>
      </c>
      <c r="N173" s="101">
        <f t="shared" si="66"/>
        <v>1</v>
      </c>
      <c r="O173" s="104">
        <f t="shared" si="67"/>
        <v>5.0990348355319798E-11</v>
      </c>
      <c r="P173" s="105">
        <f t="shared" ca="1" si="68"/>
        <v>1.1357211061377483</v>
      </c>
      <c r="Q173" s="106">
        <f t="shared" ca="1" si="69"/>
        <v>0.51095176599709624</v>
      </c>
      <c r="R173" s="107">
        <f t="shared" ca="1" si="70"/>
        <v>-15.237941634048397</v>
      </c>
      <c r="S173" s="108">
        <f t="shared" ca="1" si="71"/>
        <v>-81.563465842125154</v>
      </c>
      <c r="T173" s="116">
        <f t="shared" ca="1" si="72"/>
        <v>98.436534157874846</v>
      </c>
      <c r="V173" s="72">
        <f t="shared" ca="1" si="73"/>
        <v>9661.15</v>
      </c>
      <c r="W173" s="72">
        <f t="shared" si="74"/>
        <v>93337819.32249999</v>
      </c>
      <c r="Y173" s="110">
        <f t="shared" si="75"/>
        <v>9.456775378842492</v>
      </c>
      <c r="Z173" s="111">
        <f t="shared" si="76"/>
        <v>-47.949966112868935</v>
      </c>
      <c r="AA173" s="72">
        <f t="shared" si="77"/>
        <v>132.05003388713106</v>
      </c>
      <c r="AB173" s="110">
        <f t="shared" ca="1" si="78"/>
        <v>-8.777116666009384</v>
      </c>
      <c r="AC173" s="111">
        <f t="shared" ca="1" si="79"/>
        <v>-33.613499729256212</v>
      </c>
      <c r="AD173" s="72">
        <f t="shared" ca="1" si="80"/>
        <v>146.3865002707438</v>
      </c>
    </row>
    <row r="174" spans="1:30">
      <c r="A174" s="118">
        <v>9716.7749999999996</v>
      </c>
      <c r="B174" s="101">
        <f t="shared" ca="1" si="54"/>
        <v>498.28457567828883</v>
      </c>
      <c r="C174" s="102">
        <f t="shared" ca="1" si="55"/>
        <v>1.5687894401279658</v>
      </c>
      <c r="D174" s="102">
        <f t="shared" si="56"/>
        <v>12.951225093429926</v>
      </c>
      <c r="E174" s="103">
        <f t="shared" si="57"/>
        <v>1.4935066261374643</v>
      </c>
      <c r="F174" s="101">
        <f t="shared" si="58"/>
        <v>732.62825659556734</v>
      </c>
      <c r="G174" s="104">
        <f t="shared" si="59"/>
        <v>1.569431377652529</v>
      </c>
      <c r="H174" s="113">
        <f t="shared" si="60"/>
        <v>1.3559724153503387</v>
      </c>
      <c r="I174" s="114">
        <f t="shared" si="61"/>
        <v>0.7414676736761473</v>
      </c>
      <c r="J174" s="101">
        <f t="shared" si="62"/>
        <v>1.0000186367416957</v>
      </c>
      <c r="K174" s="104">
        <f t="shared" si="63"/>
        <v>6.1051539309366553E-3</v>
      </c>
      <c r="L174" s="102">
        <f t="shared" si="64"/>
        <v>1</v>
      </c>
      <c r="M174" s="103">
        <f t="shared" si="65"/>
        <v>3.2052456367788937E-10</v>
      </c>
      <c r="N174" s="101">
        <f t="shared" si="66"/>
        <v>1</v>
      </c>
      <c r="O174" s="104">
        <f t="shared" si="67"/>
        <v>5.1283930188462301E-11</v>
      </c>
      <c r="P174" s="105">
        <f t="shared" ca="1" si="68"/>
        <v>1.1371943014170738</v>
      </c>
      <c r="Q174" s="106">
        <f t="shared" ca="1" si="69"/>
        <v>0.5134508484359831</v>
      </c>
      <c r="R174" s="107">
        <f t="shared" ca="1" si="70"/>
        <v>-15.27669379270651</v>
      </c>
      <c r="S174" s="108">
        <f t="shared" ca="1" si="71"/>
        <v>-81.520579573427895</v>
      </c>
      <c r="T174" s="116">
        <f t="shared" ca="1" si="72"/>
        <v>98.479420426572105</v>
      </c>
      <c r="V174" s="72">
        <f t="shared" ca="1" si="73"/>
        <v>9716.7749999999996</v>
      </c>
      <c r="W174" s="72">
        <f t="shared" si="74"/>
        <v>94415716.40062499</v>
      </c>
      <c r="Y174" s="110">
        <f t="shared" si="75"/>
        <v>9.4295815752466883</v>
      </c>
      <c r="Z174" s="111">
        <f t="shared" si="76"/>
        <v>-47.788625420566213</v>
      </c>
      <c r="AA174" s="72">
        <f t="shared" si="77"/>
        <v>132.21137457943379</v>
      </c>
      <c r="AB174" s="110">
        <f t="shared" ca="1" si="78"/>
        <v>-8.7886750210716933</v>
      </c>
      <c r="AC174" s="111">
        <f t="shared" ca="1" si="79"/>
        <v>-33.731954152861668</v>
      </c>
      <c r="AD174" s="72">
        <f t="shared" ca="1" si="80"/>
        <v>146.26804584713832</v>
      </c>
    </row>
    <row r="175" spans="1:30">
      <c r="A175" s="118">
        <v>9772.4</v>
      </c>
      <c r="B175" s="101">
        <f t="shared" ca="1" si="54"/>
        <v>501.13706204406532</v>
      </c>
      <c r="C175" s="102">
        <f t="shared" ca="1" si="55"/>
        <v>1.5688008633989803</v>
      </c>
      <c r="D175" s="102">
        <f t="shared" si="56"/>
        <v>13.024925378395061</v>
      </c>
      <c r="E175" s="103">
        <f t="shared" si="57"/>
        <v>1.493944827962608</v>
      </c>
      <c r="F175" s="101">
        <f t="shared" si="58"/>
        <v>736.82227889864009</v>
      </c>
      <c r="G175" s="104">
        <f t="shared" si="59"/>
        <v>1.5694391470032047</v>
      </c>
      <c r="H175" s="113">
        <f t="shared" si="60"/>
        <v>1.359518567522954</v>
      </c>
      <c r="I175" s="114">
        <f t="shared" si="61"/>
        <v>0.74431151747254964</v>
      </c>
      <c r="J175" s="101">
        <f t="shared" si="62"/>
        <v>1.0000188507275571</v>
      </c>
      <c r="K175" s="104">
        <f t="shared" si="63"/>
        <v>6.140102839016625E-3</v>
      </c>
      <c r="L175" s="102">
        <f t="shared" si="64"/>
        <v>1</v>
      </c>
      <c r="M175" s="103">
        <f t="shared" si="65"/>
        <v>3.2235945013503004E-10</v>
      </c>
      <c r="N175" s="101">
        <f t="shared" si="66"/>
        <v>1</v>
      </c>
      <c r="O175" s="104">
        <f t="shared" si="67"/>
        <v>5.1577512021604804E-11</v>
      </c>
      <c r="P175" s="105">
        <f t="shared" ca="1" si="68"/>
        <v>1.1386740422673993</v>
      </c>
      <c r="Q175" s="106">
        <f t="shared" ca="1" si="69"/>
        <v>0.51594371690565421</v>
      </c>
      <c r="R175" s="107">
        <f t="shared" ca="1" si="70"/>
        <v>-15.315180201481509</v>
      </c>
      <c r="S175" s="108">
        <f t="shared" ca="1" si="71"/>
        <v>-81.478465134353087</v>
      </c>
      <c r="T175" s="116">
        <f t="shared" ca="1" si="72"/>
        <v>98.521534865646913</v>
      </c>
      <c r="V175" s="72">
        <f t="shared" ca="1" si="73"/>
        <v>9772.4</v>
      </c>
      <c r="W175" s="72">
        <f t="shared" si="74"/>
        <v>95499801.75999999</v>
      </c>
      <c r="Y175" s="110">
        <f t="shared" si="75"/>
        <v>9.4026838071737515</v>
      </c>
      <c r="Z175" s="111">
        <f t="shared" si="76"/>
        <v>-47.628132749101042</v>
      </c>
      <c r="AA175" s="72">
        <f t="shared" si="77"/>
        <v>132.37186725089896</v>
      </c>
      <c r="AB175" s="110">
        <f t="shared" ca="1" si="78"/>
        <v>-8.8002636617737569</v>
      </c>
      <c r="AC175" s="111">
        <f t="shared" ca="1" si="79"/>
        <v>-33.850332385252024</v>
      </c>
      <c r="AD175" s="72">
        <f t="shared" ca="1" si="80"/>
        <v>146.14966761474798</v>
      </c>
    </row>
    <row r="176" spans="1:30">
      <c r="A176" s="118">
        <v>9829.2999999999993</v>
      </c>
      <c r="B176" s="101">
        <f t="shared" ca="1" si="54"/>
        <v>504.05493131027936</v>
      </c>
      <c r="C176" s="102">
        <f t="shared" ca="1" si="55"/>
        <v>1.5688124147371665</v>
      </c>
      <c r="D176" s="102">
        <f t="shared" si="56"/>
        <v>13.100317531518268</v>
      </c>
      <c r="E176" s="103">
        <f t="shared" si="57"/>
        <v>1.4943879725548608</v>
      </c>
      <c r="F176" s="101">
        <f t="shared" si="58"/>
        <v>741.11243389325159</v>
      </c>
      <c r="G176" s="104">
        <f t="shared" si="59"/>
        <v>1.5694470034564763</v>
      </c>
      <c r="H176" s="113">
        <f t="shared" si="60"/>
        <v>1.3631573183188421</v>
      </c>
      <c r="I176" s="114">
        <f t="shared" si="61"/>
        <v>0.74720521329034728</v>
      </c>
      <c r="J176" s="101">
        <f t="shared" si="62"/>
        <v>1.0000190708820282</v>
      </c>
      <c r="K176" s="104">
        <f t="shared" si="63"/>
        <v>6.1758528076720342E-3</v>
      </c>
      <c r="L176" s="102">
        <f t="shared" si="64"/>
        <v>1</v>
      </c>
      <c r="M176" s="103">
        <f t="shared" si="65"/>
        <v>3.2423639466377251E-10</v>
      </c>
      <c r="N176" s="101">
        <f t="shared" si="66"/>
        <v>1</v>
      </c>
      <c r="O176" s="104">
        <f t="shared" si="67"/>
        <v>5.1877823146203601E-11</v>
      </c>
      <c r="P176" s="105">
        <f t="shared" ca="1" si="68"/>
        <v>1.1401944467281517</v>
      </c>
      <c r="Q176" s="106">
        <f t="shared" ca="1" si="69"/>
        <v>0.5184872927015951</v>
      </c>
      <c r="R176" s="107">
        <f t="shared" ca="1" si="70"/>
        <v>-15.354277761633083</v>
      </c>
      <c r="S176" s="108">
        <f t="shared" ca="1" si="71"/>
        <v>-81.436174726650734</v>
      </c>
      <c r="T176" s="116">
        <f t="shared" ca="1" si="72"/>
        <v>98.563825273349266</v>
      </c>
      <c r="V176" s="72">
        <f t="shared" ca="1" si="73"/>
        <v>9829.2999999999993</v>
      </c>
      <c r="W176" s="72">
        <f t="shared" si="74"/>
        <v>96615138.48999998</v>
      </c>
      <c r="Y176" s="110">
        <f t="shared" si="75"/>
        <v>9.3754716041603956</v>
      </c>
      <c r="Z176" s="111">
        <f t="shared" si="76"/>
        <v>-47.464834655205735</v>
      </c>
      <c r="AA176" s="72">
        <f t="shared" si="77"/>
        <v>132.53516534479428</v>
      </c>
      <c r="AB176" s="110">
        <f t="shared" ca="1" si="78"/>
        <v>-8.8121490189119775</v>
      </c>
      <c r="AC176" s="111">
        <f t="shared" ca="1" si="79"/>
        <v>-33.971340071445013</v>
      </c>
      <c r="AD176" s="72">
        <f t="shared" ca="1" si="80"/>
        <v>146.02865992855499</v>
      </c>
    </row>
    <row r="177" spans="1:30">
      <c r="A177" s="118">
        <v>9886.2000000000007</v>
      </c>
      <c r="B177" s="101">
        <f t="shared" ca="1" si="54"/>
        <v>506.97280064297712</v>
      </c>
      <c r="C177" s="102">
        <f t="shared" ca="1" si="55"/>
        <v>1.5688238331084754</v>
      </c>
      <c r="D177" s="102">
        <f t="shared" si="56"/>
        <v>13.175712227802791</v>
      </c>
      <c r="E177" s="103">
        <f t="shared" si="57"/>
        <v>1.4948260456655842</v>
      </c>
      <c r="F177" s="101">
        <f t="shared" si="58"/>
        <v>745.40258893308101</v>
      </c>
      <c r="G177" s="104">
        <f t="shared" si="59"/>
        <v>1.5694547694743162</v>
      </c>
      <c r="H177" s="113">
        <f t="shared" si="60"/>
        <v>1.3668074226482927</v>
      </c>
      <c r="I177" s="114">
        <f t="shared" si="61"/>
        <v>0.75008347768185657</v>
      </c>
      <c r="J177" s="101">
        <f t="shared" si="62"/>
        <v>1.0000192923145834</v>
      </c>
      <c r="K177" s="104">
        <f t="shared" si="63"/>
        <v>6.2116027605410261E-3</v>
      </c>
      <c r="L177" s="102">
        <f t="shared" si="64"/>
        <v>1</v>
      </c>
      <c r="M177" s="103">
        <f t="shared" si="65"/>
        <v>3.2611333919251504E-10</v>
      </c>
      <c r="N177" s="101">
        <f t="shared" si="66"/>
        <v>1</v>
      </c>
      <c r="O177" s="104">
        <f t="shared" si="67"/>
        <v>5.2178134270802405E-11</v>
      </c>
      <c r="P177" s="105">
        <f t="shared" ca="1" si="68"/>
        <v>1.1417216467166436</v>
      </c>
      <c r="Q177" s="106">
        <f t="shared" ca="1" si="69"/>
        <v>0.52102435996006724</v>
      </c>
      <c r="R177" s="107">
        <f t="shared" ca="1" si="70"/>
        <v>-15.393105191602142</v>
      </c>
      <c r="S177" s="108">
        <f t="shared" ca="1" si="71"/>
        <v>-81.394673336393325</v>
      </c>
      <c r="T177" s="116">
        <f t="shared" ca="1" si="72"/>
        <v>98.605326663606675</v>
      </c>
      <c r="V177" s="72">
        <f t="shared" ca="1" si="73"/>
        <v>9886.2000000000007</v>
      </c>
      <c r="W177" s="72">
        <f t="shared" si="74"/>
        <v>97736950.440000013</v>
      </c>
      <c r="Y177" s="110">
        <f t="shared" si="75"/>
        <v>9.3485607202303811</v>
      </c>
      <c r="Z177" s="111">
        <f t="shared" si="76"/>
        <v>-47.302415534436562</v>
      </c>
      <c r="AA177" s="72">
        <f t="shared" si="77"/>
        <v>132.69758446556344</v>
      </c>
      <c r="AB177" s="110">
        <f t="shared" ca="1" si="78"/>
        <v>-8.824065564951022</v>
      </c>
      <c r="AC177" s="111">
        <f t="shared" ca="1" si="79"/>
        <v>-34.092257801956748</v>
      </c>
      <c r="AD177" s="72">
        <f t="shared" ca="1" si="80"/>
        <v>145.90774219804325</v>
      </c>
    </row>
    <row r="178" spans="1:30">
      <c r="A178" s="118">
        <v>9943.1</v>
      </c>
      <c r="B178" s="101">
        <f t="shared" ca="1" si="54"/>
        <v>509.89067004101696</v>
      </c>
      <c r="C178" s="102">
        <f t="shared" ca="1" si="55"/>
        <v>1.5688351207956288</v>
      </c>
      <c r="D178" s="102">
        <f t="shared" si="56"/>
        <v>13.251109423839228</v>
      </c>
      <c r="E178" s="103">
        <f t="shared" si="57"/>
        <v>1.4952591336935208</v>
      </c>
      <c r="F178" s="101">
        <f t="shared" si="58"/>
        <v>749.69274401735186</v>
      </c>
      <c r="G178" s="104">
        <f t="shared" si="59"/>
        <v>1.5694624466092877</v>
      </c>
      <c r="H178" s="113">
        <f t="shared" si="60"/>
        <v>1.3704687897943595</v>
      </c>
      <c r="I178" s="114">
        <f t="shared" si="61"/>
        <v>0.75294638644775524</v>
      </c>
      <c r="J178" s="101">
        <f t="shared" si="62"/>
        <v>1.000019515025222</v>
      </c>
      <c r="K178" s="104">
        <f t="shared" si="63"/>
        <v>6.2473526975322284E-3</v>
      </c>
      <c r="L178" s="102">
        <f t="shared" si="64"/>
        <v>1</v>
      </c>
      <c r="M178" s="103">
        <f t="shared" si="65"/>
        <v>3.2799028372125756E-10</v>
      </c>
      <c r="N178" s="101">
        <f t="shared" si="66"/>
        <v>1</v>
      </c>
      <c r="O178" s="104">
        <f t="shared" si="67"/>
        <v>5.2478445395401202E-11</v>
      </c>
      <c r="P178" s="105">
        <f t="shared" ca="1" si="68"/>
        <v>1.1432556151903923</v>
      </c>
      <c r="Q178" s="106">
        <f t="shared" ca="1" si="69"/>
        <v>0.52355491591041914</v>
      </c>
      <c r="R178" s="107">
        <f t="shared" ca="1" si="70"/>
        <v>-15.431666398180859</v>
      </c>
      <c r="S178" s="108">
        <f t="shared" ca="1" si="71"/>
        <v>-81.353951731232371</v>
      </c>
      <c r="T178" s="116">
        <f t="shared" ca="1" si="72"/>
        <v>98.646048268767629</v>
      </c>
      <c r="V178" s="72">
        <f t="shared" ca="1" si="73"/>
        <v>9943.1</v>
      </c>
      <c r="W178" s="72">
        <f t="shared" si="74"/>
        <v>98865237.610000014</v>
      </c>
      <c r="Y178" s="110">
        <f t="shared" si="75"/>
        <v>9.3219469921171729</v>
      </c>
      <c r="Z178" s="111">
        <f t="shared" si="76"/>
        <v>-47.140871132684715</v>
      </c>
      <c r="AA178" s="72">
        <f t="shared" si="77"/>
        <v>132.85912886731529</v>
      </c>
      <c r="AB178" s="110">
        <f t="shared" ca="1" si="78"/>
        <v>-8.8360130434165267</v>
      </c>
      <c r="AC178" s="111">
        <f t="shared" ca="1" si="79"/>
        <v>-34.213080598547641</v>
      </c>
      <c r="AD178" s="72">
        <f t="shared" ca="1" si="80"/>
        <v>145.78691940145237</v>
      </c>
    </row>
    <row r="179" spans="1:30">
      <c r="A179" s="118">
        <v>10000</v>
      </c>
      <c r="B179" s="101">
        <f t="shared" ca="1" si="54"/>
        <v>512.80853950328355</v>
      </c>
      <c r="C179" s="102">
        <f t="shared" ca="1" si="55"/>
        <v>1.5688462800293936</v>
      </c>
      <c r="D179" s="102">
        <f t="shared" si="56"/>
        <v>13.326509077199155</v>
      </c>
      <c r="E179" s="103">
        <f t="shared" si="57"/>
        <v>1.4956873210896595</v>
      </c>
      <c r="F179" s="101">
        <f t="shared" si="58"/>
        <v>753.98289914530551</v>
      </c>
      <c r="G179" s="104">
        <f t="shared" si="59"/>
        <v>1.569470036378618</v>
      </c>
      <c r="H179" s="113">
        <f t="shared" si="60"/>
        <v>1.374141329728519</v>
      </c>
      <c r="I179" s="114">
        <f t="shared" si="61"/>
        <v>0.75579401558897541</v>
      </c>
      <c r="J179" s="101">
        <f t="shared" si="62"/>
        <v>1.0000197390139427</v>
      </c>
      <c r="K179" s="104">
        <f t="shared" si="63"/>
        <v>6.2831026185542734E-3</v>
      </c>
      <c r="L179" s="102">
        <f t="shared" si="64"/>
        <v>1</v>
      </c>
      <c r="M179" s="103">
        <f t="shared" si="65"/>
        <v>3.2986722825000003E-10</v>
      </c>
      <c r="N179" s="101">
        <f t="shared" si="66"/>
        <v>1</v>
      </c>
      <c r="O179" s="104">
        <f t="shared" si="67"/>
        <v>5.277875652E-11</v>
      </c>
      <c r="P179" s="105">
        <f t="shared" ca="1" si="68"/>
        <v>1.1447963251325823</v>
      </c>
      <c r="Q179" s="106">
        <f t="shared" ca="1" si="69"/>
        <v>0.52607895810395433</v>
      </c>
      <c r="R179" s="107">
        <f t="shared" ca="1" si="70"/>
        <v>-15.469965216820976</v>
      </c>
      <c r="S179" s="108">
        <f t="shared" ca="1" si="71"/>
        <v>-81.314000792388981</v>
      </c>
      <c r="T179" s="116">
        <f t="shared" ca="1" si="72"/>
        <v>98.685999207611019</v>
      </c>
      <c r="V179" s="72">
        <f t="shared" ca="1" si="73"/>
        <v>10000</v>
      </c>
      <c r="W179" s="72">
        <f t="shared" si="74"/>
        <v>100000000</v>
      </c>
      <c r="Y179" s="110">
        <f t="shared" si="75"/>
        <v>9.2956263259734424</v>
      </c>
      <c r="Z179" s="111">
        <f t="shared" si="76"/>
        <v>-46.980197182343005</v>
      </c>
      <c r="AA179" s="72">
        <f t="shared" si="77"/>
        <v>133.01980281765699</v>
      </c>
      <c r="AB179" s="110">
        <f t="shared" ca="1" si="78"/>
        <v>-8.8479911959129112</v>
      </c>
      <c r="AC179" s="111">
        <f t="shared" ca="1" si="79"/>
        <v>-34.333803610045983</v>
      </c>
      <c r="AD179" s="72">
        <f t="shared" ca="1" si="80"/>
        <v>145.66619638995402</v>
      </c>
    </row>
    <row r="180" spans="1:30">
      <c r="A180" s="118">
        <v>10058.25</v>
      </c>
      <c r="B180" s="101">
        <f t="shared" ca="1" si="54"/>
        <v>515.79563791976648</v>
      </c>
      <c r="C180" s="102">
        <f t="shared" ca="1" si="55"/>
        <v>1.5688575732403023</v>
      </c>
      <c r="D180" s="102">
        <f t="shared" si="56"/>
        <v>13.403700152450012</v>
      </c>
      <c r="E180" s="103">
        <f t="shared" si="57"/>
        <v>1.4961206773546833</v>
      </c>
      <c r="F180" s="101">
        <f t="shared" si="58"/>
        <v>758.37484182955802</v>
      </c>
      <c r="G180" s="104">
        <f t="shared" si="59"/>
        <v>1.5694777172701184</v>
      </c>
      <c r="H180" s="113">
        <f t="shared" si="60"/>
        <v>1.3779124840224837</v>
      </c>
      <c r="I180" s="114">
        <f t="shared" si="61"/>
        <v>0.75869345894169382</v>
      </c>
      <c r="J180" s="101">
        <f t="shared" si="62"/>
        <v>1.0000199696409096</v>
      </c>
      <c r="K180" s="104">
        <f t="shared" si="63"/>
        <v>6.3197007196591527E-3</v>
      </c>
      <c r="L180" s="102">
        <f t="shared" si="64"/>
        <v>1</v>
      </c>
      <c r="M180" s="103">
        <f t="shared" si="65"/>
        <v>3.3178870485455628E-10</v>
      </c>
      <c r="N180" s="101">
        <f t="shared" si="66"/>
        <v>1</v>
      </c>
      <c r="O180" s="104">
        <f t="shared" si="67"/>
        <v>5.3086192776729006E-11</v>
      </c>
      <c r="P180" s="105">
        <f t="shared" ca="1" si="68"/>
        <v>1.1463805448118716</v>
      </c>
      <c r="Q180" s="106">
        <f t="shared" ca="1" si="69"/>
        <v>0.52865613567710956</v>
      </c>
      <c r="R180" s="107">
        <f t="shared" ca="1" si="70"/>
        <v>-15.508904838204863</v>
      </c>
      <c r="S180" s="108">
        <f t="shared" ca="1" si="71"/>
        <v>-81.273890890908334</v>
      </c>
      <c r="T180" s="116">
        <f t="shared" ca="1" si="72"/>
        <v>98.726109109091666</v>
      </c>
      <c r="V180" s="72">
        <f t="shared" ca="1" si="73"/>
        <v>10058.25</v>
      </c>
      <c r="W180" s="72">
        <f t="shared" si="74"/>
        <v>101168393.0625</v>
      </c>
      <c r="Y180" s="110">
        <f t="shared" si="75"/>
        <v>9.2689805514052512</v>
      </c>
      <c r="Z180" s="111">
        <f t="shared" si="76"/>
        <v>-46.816608314412946</v>
      </c>
      <c r="AA180" s="72">
        <f t="shared" si="77"/>
        <v>133.18339168558705</v>
      </c>
      <c r="AB180" s="110">
        <f t="shared" ca="1" si="78"/>
        <v>-8.8602850427286093</v>
      </c>
      <c r="AC180" s="111">
        <f t="shared" ca="1" si="79"/>
        <v>-34.457282576495444</v>
      </c>
      <c r="AD180" s="72">
        <f t="shared" ca="1" si="80"/>
        <v>145.54271742350454</v>
      </c>
    </row>
    <row r="181" spans="1:30">
      <c r="A181" s="118">
        <v>10116.5</v>
      </c>
      <c r="B181" s="101">
        <f t="shared" ca="1" si="54"/>
        <v>518.78273640127452</v>
      </c>
      <c r="C181" s="102">
        <f t="shared" ca="1" si="55"/>
        <v>1.568868736400882</v>
      </c>
      <c r="D181" s="102">
        <f t="shared" si="56"/>
        <v>13.480893716057428</v>
      </c>
      <c r="E181" s="103">
        <f t="shared" si="57"/>
        <v>1.4965490707770355</v>
      </c>
      <c r="F181" s="101">
        <f t="shared" si="58"/>
        <v>762.76678455803653</v>
      </c>
      <c r="G181" s="104">
        <f t="shared" si="59"/>
        <v>1.5694853097098509</v>
      </c>
      <c r="H181" s="113">
        <f t="shared" si="60"/>
        <v>1.3816951588226949</v>
      </c>
      <c r="I181" s="114">
        <f t="shared" si="61"/>
        <v>0.76157705078021443</v>
      </c>
      <c r="J181" s="101">
        <f t="shared" si="62"/>
        <v>1.0000202016073234</v>
      </c>
      <c r="K181" s="104">
        <f t="shared" si="63"/>
        <v>6.3562988038343331E-3</v>
      </c>
      <c r="L181" s="102">
        <f t="shared" si="64"/>
        <v>1</v>
      </c>
      <c r="M181" s="103">
        <f t="shared" si="65"/>
        <v>3.3371018145911254E-10</v>
      </c>
      <c r="N181" s="101">
        <f t="shared" si="66"/>
        <v>1</v>
      </c>
      <c r="O181" s="104">
        <f t="shared" si="67"/>
        <v>5.3393629033458005E-11</v>
      </c>
      <c r="P181" s="105">
        <f t="shared" ca="1" si="68"/>
        <v>1.1479717724371143</v>
      </c>
      <c r="Q181" s="106">
        <f t="shared" ca="1" si="69"/>
        <v>0.53122648256453531</v>
      </c>
      <c r="R181" s="107">
        <f t="shared" ca="1" si="70"/>
        <v>-15.547577385327106</v>
      </c>
      <c r="S181" s="108">
        <f t="shared" ca="1" si="71"/>
        <v>-81.234569674549107</v>
      </c>
      <c r="T181" s="116">
        <f t="shared" ca="1" si="72"/>
        <v>98.765430325450893</v>
      </c>
      <c r="V181" s="72">
        <f t="shared" ca="1" si="73"/>
        <v>10116.5</v>
      </c>
      <c r="W181" s="72">
        <f t="shared" si="74"/>
        <v>102343572.25</v>
      </c>
      <c r="Y181" s="110">
        <f t="shared" si="75"/>
        <v>9.242633444283495</v>
      </c>
      <c r="Z181" s="111">
        <f t="shared" si="76"/>
        <v>-46.653922602463361</v>
      </c>
      <c r="AA181" s="72">
        <f t="shared" si="77"/>
        <v>133.34607739753665</v>
      </c>
      <c r="AB181" s="110">
        <f t="shared" ca="1" si="78"/>
        <v>-8.8726104827290939</v>
      </c>
      <c r="AC181" s="111">
        <f t="shared" ca="1" si="79"/>
        <v>-34.580647072085789</v>
      </c>
      <c r="AD181" s="72">
        <f t="shared" ca="1" si="80"/>
        <v>145.41935292791422</v>
      </c>
    </row>
    <row r="182" spans="1:30">
      <c r="A182" s="118">
        <v>10174.75</v>
      </c>
      <c r="B182" s="101">
        <f t="shared" ca="1" si="54"/>
        <v>521.76983494669116</v>
      </c>
      <c r="C182" s="102">
        <f t="shared" ca="1" si="55"/>
        <v>1.5688797717447189</v>
      </c>
      <c r="D182" s="102">
        <f t="shared" si="56"/>
        <v>13.558089725518711</v>
      </c>
      <c r="E182" s="103">
        <f t="shared" si="57"/>
        <v>1.4969725859692755</v>
      </c>
      <c r="F182" s="101">
        <f t="shared" si="58"/>
        <v>767.15872732998139</v>
      </c>
      <c r="G182" s="104">
        <f t="shared" si="59"/>
        <v>1.5694928152169592</v>
      </c>
      <c r="H182" s="113">
        <f t="shared" si="60"/>
        <v>1.3854892597689976</v>
      </c>
      <c r="I182" s="114">
        <f t="shared" si="61"/>
        <v>0.76444487317944687</v>
      </c>
      <c r="J182" s="101">
        <f t="shared" si="62"/>
        <v>1.0000204349131836</v>
      </c>
      <c r="K182" s="104">
        <f t="shared" si="63"/>
        <v>6.3928968709817896E-3</v>
      </c>
      <c r="L182" s="102">
        <f t="shared" si="64"/>
        <v>1</v>
      </c>
      <c r="M182" s="103">
        <f t="shared" si="65"/>
        <v>3.3563165806366879E-10</v>
      </c>
      <c r="N182" s="101">
        <f t="shared" si="66"/>
        <v>1</v>
      </c>
      <c r="O182" s="104">
        <f t="shared" si="67"/>
        <v>5.3701065290187005E-11</v>
      </c>
      <c r="P182" s="105">
        <f t="shared" ca="1" si="68"/>
        <v>1.1495699791153644</v>
      </c>
      <c r="Q182" s="106">
        <f t="shared" ca="1" si="69"/>
        <v>0.53378999716648001</v>
      </c>
      <c r="R182" s="107">
        <f t="shared" ca="1" si="70"/>
        <v>-15.585986750761013</v>
      </c>
      <c r="S182" s="108">
        <f t="shared" ca="1" si="71"/>
        <v>-81.196027716173717</v>
      </c>
      <c r="T182" s="116">
        <f t="shared" ca="1" si="72"/>
        <v>98.803972283826283</v>
      </c>
      <c r="V182" s="72">
        <f t="shared" ca="1" si="73"/>
        <v>10174.75</v>
      </c>
      <c r="W182" s="72">
        <f t="shared" si="74"/>
        <v>103525537.5625</v>
      </c>
      <c r="Y182" s="110">
        <f t="shared" si="75"/>
        <v>9.2165808293781417</v>
      </c>
      <c r="Z182" s="111">
        <f t="shared" si="76"/>
        <v>-46.492135430983204</v>
      </c>
      <c r="AA182" s="72">
        <f t="shared" si="77"/>
        <v>133.50786456901679</v>
      </c>
      <c r="AB182" s="110">
        <f t="shared" ca="1" si="78"/>
        <v>-8.8849672332576528</v>
      </c>
      <c r="AC182" s="111">
        <f t="shared" ca="1" si="79"/>
        <v>-34.703892285190499</v>
      </c>
      <c r="AD182" s="72">
        <f t="shared" ca="1" si="80"/>
        <v>145.29610771480949</v>
      </c>
    </row>
    <row r="183" spans="1:30">
      <c r="A183" s="118">
        <v>10233</v>
      </c>
      <c r="B183" s="101">
        <f t="shared" ca="1" si="54"/>
        <v>524.7569335549249</v>
      </c>
      <c r="C183" s="102">
        <f t="shared" ca="1" si="55"/>
        <v>1.5688906814545422</v>
      </c>
      <c r="D183" s="102">
        <f t="shared" si="56"/>
        <v>13.635288139292346</v>
      </c>
      <c r="E183" s="103">
        <f t="shared" si="57"/>
        <v>1.4973913056348636</v>
      </c>
      <c r="F183" s="101">
        <f t="shared" si="58"/>
        <v>771.55067014465033</v>
      </c>
      <c r="G183" s="104">
        <f t="shared" si="59"/>
        <v>1.5695002352759972</v>
      </c>
      <c r="H183" s="113">
        <f t="shared" si="60"/>
        <v>1.3892946932485308</v>
      </c>
      <c r="I183" s="114">
        <f t="shared" si="61"/>
        <v>0.76729700835665593</v>
      </c>
      <c r="J183" s="101">
        <f t="shared" si="62"/>
        <v>1.000020669558489</v>
      </c>
      <c r="K183" s="104">
        <f t="shared" si="63"/>
        <v>6.4294949210034914E-3</v>
      </c>
      <c r="L183" s="102">
        <f t="shared" si="64"/>
        <v>1</v>
      </c>
      <c r="M183" s="103">
        <f t="shared" si="65"/>
        <v>3.3755313466822504E-10</v>
      </c>
      <c r="N183" s="101">
        <f t="shared" si="66"/>
        <v>1</v>
      </c>
      <c r="O183" s="104">
        <f t="shared" si="67"/>
        <v>5.4008501546916005E-11</v>
      </c>
      <c r="P183" s="105">
        <f t="shared" ca="1" si="68"/>
        <v>1.1511751359880431</v>
      </c>
      <c r="Q183" s="106">
        <f t="shared" ca="1" si="69"/>
        <v>0.53634667822249882</v>
      </c>
      <c r="R183" s="107">
        <f t="shared" ca="1" si="70"/>
        <v>-15.624136755293181</v>
      </c>
      <c r="S183" s="108">
        <f t="shared" ca="1" si="71"/>
        <v>-81.158255704416661</v>
      </c>
      <c r="T183" s="116">
        <f t="shared" ca="1" si="72"/>
        <v>98.841744295583339</v>
      </c>
      <c r="V183" s="72">
        <f t="shared" ca="1" si="73"/>
        <v>10233</v>
      </c>
      <c r="W183" s="72">
        <f t="shared" si="74"/>
        <v>104714289</v>
      </c>
      <c r="Y183" s="110">
        <f t="shared" si="75"/>
        <v>9.1908186016780817</v>
      </c>
      <c r="Z183" s="111">
        <f t="shared" si="76"/>
        <v>-46.331242174323279</v>
      </c>
      <c r="AA183" s="72">
        <f t="shared" si="77"/>
        <v>133.66875782567672</v>
      </c>
      <c r="AB183" s="110">
        <f t="shared" ca="1" si="78"/>
        <v>-8.8973550100897594</v>
      </c>
      <c r="AC183" s="111">
        <f t="shared" ca="1" si="79"/>
        <v>-34.827013530093375</v>
      </c>
      <c r="AD183" s="72">
        <f t="shared" ca="1" si="80"/>
        <v>145.17298646990662</v>
      </c>
    </row>
    <row r="184" spans="1:30">
      <c r="A184" s="118">
        <v>10292.5</v>
      </c>
      <c r="B184" s="101">
        <f t="shared" ca="1" si="54"/>
        <v>527.80813305540607</v>
      </c>
      <c r="C184" s="102">
        <f t="shared" ca="1" si="55"/>
        <v>1.5689016977893122</v>
      </c>
      <c r="D184" s="102">
        <f t="shared" si="56"/>
        <v>13.714145611426728</v>
      </c>
      <c r="E184" s="103">
        <f t="shared" si="57"/>
        <v>1.4978141437634935</v>
      </c>
      <c r="F184" s="101">
        <f t="shared" si="58"/>
        <v>776.03686070255969</v>
      </c>
      <c r="G184" s="104">
        <f t="shared" si="59"/>
        <v>1.5695077278540646</v>
      </c>
      <c r="H184" s="113">
        <f t="shared" si="60"/>
        <v>1.3931933917538848</v>
      </c>
      <c r="I184" s="114">
        <f t="shared" si="61"/>
        <v>0.7701942379831993</v>
      </c>
      <c r="J184" s="101">
        <f t="shared" si="62"/>
        <v>1.0000209106219691</v>
      </c>
      <c r="K184" s="104">
        <f t="shared" si="63"/>
        <v>6.4668783191226022E-3</v>
      </c>
      <c r="L184" s="102">
        <f t="shared" si="64"/>
        <v>1</v>
      </c>
      <c r="M184" s="103">
        <f t="shared" si="65"/>
        <v>3.3951584467631252E-10</v>
      </c>
      <c r="N184" s="101">
        <f t="shared" si="66"/>
        <v>1</v>
      </c>
      <c r="O184" s="104">
        <f t="shared" si="67"/>
        <v>5.4322535148210005E-11</v>
      </c>
      <c r="P184" s="105">
        <f t="shared" ca="1" si="68"/>
        <v>1.1528218838308251</v>
      </c>
      <c r="Q184" s="106">
        <f t="shared" ca="1" si="69"/>
        <v>0.5389511676358707</v>
      </c>
      <c r="R184" s="107">
        <f t="shared" ca="1" si="70"/>
        <v>-15.66284155975981</v>
      </c>
      <c r="S184" s="108">
        <f t="shared" ca="1" si="71"/>
        <v>-81.120458478907793</v>
      </c>
      <c r="T184" s="116">
        <f t="shared" ca="1" si="72"/>
        <v>98.879541521092207</v>
      </c>
      <c r="V184" s="72">
        <f t="shared" ca="1" si="73"/>
        <v>10292.5</v>
      </c>
      <c r="W184" s="72">
        <f t="shared" si="74"/>
        <v>105935556.25</v>
      </c>
      <c r="Y184" s="110">
        <f t="shared" si="75"/>
        <v>9.1647991412667711</v>
      </c>
      <c r="Z184" s="111">
        <f t="shared" si="76"/>
        <v>-46.167814348197879</v>
      </c>
      <c r="AA184" s="72">
        <f t="shared" si="77"/>
        <v>133.83218565180212</v>
      </c>
      <c r="AB184" s="110">
        <f t="shared" ca="1" si="78"/>
        <v>-8.9100403541450763</v>
      </c>
      <c r="AC184" s="111">
        <f t="shared" ca="1" si="79"/>
        <v>-34.95264413070997</v>
      </c>
      <c r="AD184" s="72">
        <f t="shared" ca="1" si="80"/>
        <v>145.04735586929002</v>
      </c>
    </row>
    <row r="185" spans="1:30">
      <c r="A185" s="118">
        <v>10352</v>
      </c>
      <c r="B185" s="101">
        <f t="shared" ca="1" si="54"/>
        <v>530.85933261920559</v>
      </c>
      <c r="C185" s="102">
        <f t="shared" ca="1" si="55"/>
        <v>1.5689125874877647</v>
      </c>
      <c r="D185" s="102">
        <f t="shared" si="56"/>
        <v>13.793005507504551</v>
      </c>
      <c r="E185" s="103">
        <f t="shared" si="57"/>
        <v>1.4982321469110385</v>
      </c>
      <c r="F185" s="101">
        <f t="shared" si="58"/>
        <v>780.52305130353398</v>
      </c>
      <c r="G185" s="104">
        <f t="shared" si="59"/>
        <v>1.5695151343023679</v>
      </c>
      <c r="H185" s="113">
        <f t="shared" si="60"/>
        <v>1.3971037193155273</v>
      </c>
      <c r="I185" s="114">
        <f t="shared" si="61"/>
        <v>0.77307527367643869</v>
      </c>
      <c r="J185" s="101">
        <f t="shared" si="62"/>
        <v>1.0000211530829963</v>
      </c>
      <c r="K185" s="104">
        <f t="shared" si="63"/>
        <v>6.5042616991663046E-3</v>
      </c>
      <c r="L185" s="102">
        <f t="shared" si="64"/>
        <v>1</v>
      </c>
      <c r="M185" s="103">
        <f t="shared" si="65"/>
        <v>3.4147855468440001E-10</v>
      </c>
      <c r="N185" s="101">
        <f t="shared" si="66"/>
        <v>1</v>
      </c>
      <c r="O185" s="104">
        <f t="shared" si="67"/>
        <v>5.4636568749504005E-11</v>
      </c>
      <c r="P185" s="105">
        <f t="shared" ca="1" si="68"/>
        <v>1.1544758226092413</v>
      </c>
      <c r="Q185" s="106">
        <f t="shared" ca="1" si="69"/>
        <v>0.54154852547966148</v>
      </c>
      <c r="R185" s="107">
        <f t="shared" ca="1" si="70"/>
        <v>-15.701283588723911</v>
      </c>
      <c r="S185" s="108">
        <f t="shared" ca="1" si="71"/>
        <v>-81.083445320969744</v>
      </c>
      <c r="T185" s="116">
        <f t="shared" ca="1" si="72"/>
        <v>98.916554679030256</v>
      </c>
      <c r="V185" s="72">
        <f t="shared" ca="1" si="73"/>
        <v>10352</v>
      </c>
      <c r="W185" s="72">
        <f t="shared" si="74"/>
        <v>107163904</v>
      </c>
      <c r="Y185" s="110">
        <f t="shared" si="75"/>
        <v>9.1390742246064818</v>
      </c>
      <c r="Z185" s="111">
        <f t="shared" si="76"/>
        <v>-46.005309430197968</v>
      </c>
      <c r="AA185" s="72">
        <f t="shared" si="77"/>
        <v>133.99469056980203</v>
      </c>
      <c r="AB185" s="110">
        <f t="shared" ca="1" si="78"/>
        <v>-8.9227574664488909</v>
      </c>
      <c r="AC185" s="111">
        <f t="shared" ca="1" si="79"/>
        <v>-35.078135890771776</v>
      </c>
      <c r="AD185" s="72">
        <f t="shared" ca="1" si="80"/>
        <v>144.92186410922824</v>
      </c>
    </row>
    <row r="186" spans="1:30">
      <c r="A186" s="118">
        <v>10411.5</v>
      </c>
      <c r="B186" s="101">
        <f t="shared" ca="1" si="54"/>
        <v>533.91053224523773</v>
      </c>
      <c r="C186" s="102">
        <f t="shared" ca="1" si="55"/>
        <v>1.5689233527210065</v>
      </c>
      <c r="D186" s="102">
        <f t="shared" si="56"/>
        <v>13.871867786186341</v>
      </c>
      <c r="E186" s="103">
        <f t="shared" si="57"/>
        <v>1.498645397391511</v>
      </c>
      <c r="F186" s="101">
        <f t="shared" si="58"/>
        <v>785.009241946835</v>
      </c>
      <c r="G186" s="104">
        <f t="shared" si="59"/>
        <v>1.5695224560975558</v>
      </c>
      <c r="H186" s="113">
        <f t="shared" si="60"/>
        <v>1.4010255785617507</v>
      </c>
      <c r="I186" s="114">
        <f t="shared" si="61"/>
        <v>0.77594020340273184</v>
      </c>
      <c r="J186" s="101">
        <f t="shared" si="62"/>
        <v>1.0000213969415694</v>
      </c>
      <c r="K186" s="104">
        <f t="shared" si="63"/>
        <v>6.5416450610301267E-3</v>
      </c>
      <c r="L186" s="102">
        <f t="shared" si="64"/>
        <v>1</v>
      </c>
      <c r="M186" s="103">
        <f t="shared" si="65"/>
        <v>3.4344126469248755E-10</v>
      </c>
      <c r="N186" s="101">
        <f t="shared" si="66"/>
        <v>1</v>
      </c>
      <c r="O186" s="104">
        <f t="shared" si="67"/>
        <v>5.4950602350798005E-11</v>
      </c>
      <c r="P186" s="105">
        <f t="shared" ca="1" si="68"/>
        <v>1.1561369216874902</v>
      </c>
      <c r="Q186" s="106">
        <f t="shared" ca="1" si="69"/>
        <v>0.54413875148334956</v>
      </c>
      <c r="R186" s="107">
        <f t="shared" ca="1" si="70"/>
        <v>-15.739466692225221</v>
      </c>
      <c r="S186" s="108">
        <f t="shared" ca="1" si="71"/>
        <v>-81.047206667750999</v>
      </c>
      <c r="T186" s="116">
        <f t="shared" ca="1" si="72"/>
        <v>98.952793332249001</v>
      </c>
      <c r="V186" s="72">
        <f t="shared" ca="1" si="73"/>
        <v>10411.5</v>
      </c>
      <c r="W186" s="72">
        <f t="shared" si="74"/>
        <v>108399332.25</v>
      </c>
      <c r="Y186" s="110">
        <f t="shared" si="75"/>
        <v>9.1136396944668867</v>
      </c>
      <c r="Z186" s="111">
        <f t="shared" si="76"/>
        <v>-45.843722464822228</v>
      </c>
      <c r="AA186" s="72">
        <f t="shared" si="77"/>
        <v>134.15627753517776</v>
      </c>
      <c r="AB186" s="110">
        <f t="shared" ca="1" si="78"/>
        <v>-8.935506039810603</v>
      </c>
      <c r="AC186" s="111">
        <f t="shared" ca="1" si="79"/>
        <v>-35.203484202928756</v>
      </c>
      <c r="AD186" s="72">
        <f t="shared" ca="1" si="80"/>
        <v>144.79651579707124</v>
      </c>
    </row>
    <row r="187" spans="1:30">
      <c r="A187" s="118">
        <v>10471</v>
      </c>
      <c r="B187" s="101">
        <f t="shared" ca="1" si="54"/>
        <v>536.96173193244181</v>
      </c>
      <c r="C187" s="102">
        <f t="shared" ca="1" si="55"/>
        <v>1.5689339956107959</v>
      </c>
      <c r="D187" s="102">
        <f t="shared" si="56"/>
        <v>13.950732407066134</v>
      </c>
      <c r="E187" s="103">
        <f t="shared" si="57"/>
        <v>1.4990539756641903</v>
      </c>
      <c r="F187" s="101">
        <f t="shared" si="58"/>
        <v>789.49543263174087</v>
      </c>
      <c r="G187" s="104">
        <f t="shared" si="59"/>
        <v>1.569529694682714</v>
      </c>
      <c r="H187" s="113">
        <f t="shared" si="60"/>
        <v>1.4049588729225202</v>
      </c>
      <c r="I187" s="114">
        <f t="shared" si="61"/>
        <v>0.77878911520525318</v>
      </c>
      <c r="J187" s="101">
        <f t="shared" si="62"/>
        <v>1.0000216421976877</v>
      </c>
      <c r="K187" s="104">
        <f t="shared" si="63"/>
        <v>6.579028404609593E-3</v>
      </c>
      <c r="L187" s="102">
        <f t="shared" si="64"/>
        <v>1</v>
      </c>
      <c r="M187" s="103">
        <f t="shared" si="65"/>
        <v>3.4540397470057503E-10</v>
      </c>
      <c r="N187" s="101">
        <f t="shared" si="66"/>
        <v>1</v>
      </c>
      <c r="O187" s="104">
        <f t="shared" si="67"/>
        <v>5.5264635952092005E-11</v>
      </c>
      <c r="P187" s="105">
        <f t="shared" ca="1" si="68"/>
        <v>1.1578051504736546</v>
      </c>
      <c r="Q187" s="106">
        <f t="shared" ca="1" si="69"/>
        <v>0.54672184572980209</v>
      </c>
      <c r="R187" s="107">
        <f t="shared" ca="1" si="70"/>
        <v>-15.777394648723075</v>
      </c>
      <c r="S187" s="108">
        <f t="shared" ca="1" si="71"/>
        <v>-81.01173307376466</v>
      </c>
      <c r="T187" s="116">
        <f t="shared" ca="1" si="72"/>
        <v>98.98826692623534</v>
      </c>
      <c r="V187" s="72">
        <f t="shared" ca="1" si="73"/>
        <v>10471</v>
      </c>
      <c r="W187" s="72">
        <f t="shared" si="74"/>
        <v>109641841</v>
      </c>
      <c r="Y187" s="110">
        <f t="shared" si="75"/>
        <v>9.0884914640105148</v>
      </c>
      <c r="Z187" s="111">
        <f t="shared" si="76"/>
        <v>-45.683048490245099</v>
      </c>
      <c r="AA187" s="72">
        <f t="shared" si="77"/>
        <v>134.31695150975492</v>
      </c>
      <c r="AB187" s="110">
        <f t="shared" ca="1" si="78"/>
        <v>-8.948285765852086</v>
      </c>
      <c r="AC187" s="111">
        <f t="shared" ca="1" si="79"/>
        <v>-35.328684583519561</v>
      </c>
      <c r="AD187" s="72">
        <f t="shared" ca="1" si="80"/>
        <v>144.67131541648044</v>
      </c>
    </row>
    <row r="188" spans="1:30">
      <c r="A188" s="118">
        <v>10532</v>
      </c>
      <c r="B188" s="101">
        <f t="shared" ca="1" si="54"/>
        <v>540.08985268258277</v>
      </c>
      <c r="C188" s="102">
        <f t="shared" ca="1" si="55"/>
        <v>1.5689447819706364</v>
      </c>
      <c r="D188" s="102">
        <f t="shared" si="56"/>
        <v>14.031587601834858</v>
      </c>
      <c r="E188" s="103">
        <f t="shared" si="57"/>
        <v>1.499468086187187</v>
      </c>
      <c r="F188" s="101">
        <f t="shared" si="58"/>
        <v>794.09472060325754</v>
      </c>
      <c r="G188" s="104">
        <f t="shared" si="59"/>
        <v>1.5695370308464929</v>
      </c>
      <c r="H188" s="113">
        <f t="shared" si="60"/>
        <v>1.4090030968793401</v>
      </c>
      <c r="I188" s="114">
        <f t="shared" si="61"/>
        <v>0.78169331180999846</v>
      </c>
      <c r="J188" s="101">
        <f t="shared" si="62"/>
        <v>1.0000218950875697</v>
      </c>
      <c r="K188" s="104">
        <f t="shared" si="63"/>
        <v>6.6173541663311942E-3</v>
      </c>
      <c r="L188" s="102">
        <f t="shared" si="64"/>
        <v>1</v>
      </c>
      <c r="M188" s="103">
        <f t="shared" si="65"/>
        <v>3.4741616479290003E-10</v>
      </c>
      <c r="N188" s="101">
        <f t="shared" si="66"/>
        <v>1</v>
      </c>
      <c r="O188" s="104">
        <f t="shared" si="67"/>
        <v>5.5586586366864003E-11</v>
      </c>
      <c r="P188" s="105">
        <f t="shared" ca="1" si="68"/>
        <v>1.1595228050546038</v>
      </c>
      <c r="Q188" s="106">
        <f t="shared" ca="1" si="69"/>
        <v>0.54936265674219809</v>
      </c>
      <c r="R188" s="107">
        <f t="shared" ca="1" si="70"/>
        <v>-15.816017777435064</v>
      </c>
      <c r="S188" s="108">
        <f t="shared" ca="1" si="71"/>
        <v>-80.976149654092112</v>
      </c>
      <c r="T188" s="116">
        <f t="shared" ca="1" si="72"/>
        <v>99.023850345907888</v>
      </c>
      <c r="V188" s="72">
        <f t="shared" ca="1" si="73"/>
        <v>10532</v>
      </c>
      <c r="W188" s="72">
        <f t="shared" si="74"/>
        <v>110923024</v>
      </c>
      <c r="Y188" s="110">
        <f t="shared" si="75"/>
        <v>9.063002255976718</v>
      </c>
      <c r="Z188" s="111">
        <f t="shared" si="76"/>
        <v>-45.519266517248596</v>
      </c>
      <c r="AA188" s="72">
        <f t="shared" si="77"/>
        <v>134.48073348275142</v>
      </c>
      <c r="AB188" s="110">
        <f t="shared" ca="1" si="78"/>
        <v>-8.9614196865302791</v>
      </c>
      <c r="AC188" s="111">
        <f t="shared" ca="1" si="79"/>
        <v>-35.45688313684353</v>
      </c>
      <c r="AD188" s="72">
        <f t="shared" ca="1" si="80"/>
        <v>144.54311686315646</v>
      </c>
    </row>
    <row r="189" spans="1:30">
      <c r="A189" s="118">
        <v>10593</v>
      </c>
      <c r="B189" s="101">
        <f t="shared" ca="1" si="54"/>
        <v>543.21797349483711</v>
      </c>
      <c r="C189" s="102">
        <f t="shared" ca="1" si="55"/>
        <v>1.5689554441039673</v>
      </c>
      <c r="D189" s="102">
        <f t="shared" si="56"/>
        <v>14.11244517527315</v>
      </c>
      <c r="E189" s="103">
        <f t="shared" si="57"/>
        <v>1.4998774514685229</v>
      </c>
      <c r="F189" s="101">
        <f t="shared" si="58"/>
        <v>798.69400861701968</v>
      </c>
      <c r="G189" s="104">
        <f t="shared" si="59"/>
        <v>1.5695442825195167</v>
      </c>
      <c r="H189" s="113">
        <f t="shared" si="60"/>
        <v>1.4130591367892678</v>
      </c>
      <c r="I189" s="114">
        <f t="shared" si="61"/>
        <v>0.78458086026196794</v>
      </c>
      <c r="J189" s="101">
        <f t="shared" si="62"/>
        <v>1.0000221494463468</v>
      </c>
      <c r="K189" s="104">
        <f t="shared" si="63"/>
        <v>6.6556799086125345E-3</v>
      </c>
      <c r="L189" s="102">
        <f t="shared" si="64"/>
        <v>1</v>
      </c>
      <c r="M189" s="103">
        <f t="shared" si="65"/>
        <v>3.4942835488522503E-10</v>
      </c>
      <c r="N189" s="101">
        <f t="shared" si="66"/>
        <v>1</v>
      </c>
      <c r="O189" s="104">
        <f t="shared" si="67"/>
        <v>5.5908536781636002E-11</v>
      </c>
      <c r="P189" s="105">
        <f t="shared" ca="1" si="68"/>
        <v>1.1612478883858721</v>
      </c>
      <c r="Q189" s="106">
        <f t="shared" ca="1" si="69"/>
        <v>0.55199597317864946</v>
      </c>
      <c r="R189" s="107">
        <f t="shared" ca="1" si="70"/>
        <v>-15.854380551183276</v>
      </c>
      <c r="S189" s="108">
        <f t="shared" ca="1" si="71"/>
        <v>-80.941350618328016</v>
      </c>
      <c r="T189" s="116">
        <f t="shared" ca="1" si="72"/>
        <v>99.058649381671984</v>
      </c>
      <c r="V189" s="72">
        <f t="shared" ca="1" si="73"/>
        <v>10593</v>
      </c>
      <c r="W189" s="72">
        <f t="shared" si="74"/>
        <v>112211649</v>
      </c>
      <c r="Y189" s="110">
        <f t="shared" si="75"/>
        <v>9.0378054863753583</v>
      </c>
      <c r="Z189" s="111">
        <f t="shared" si="76"/>
        <v>-45.356433571066404</v>
      </c>
      <c r="AA189" s="72">
        <f t="shared" si="77"/>
        <v>134.64356642893358</v>
      </c>
      <c r="AB189" s="110">
        <f t="shared" ca="1" si="78"/>
        <v>-8.9745856906771273</v>
      </c>
      <c r="AC189" s="111">
        <f t="shared" ca="1" si="79"/>
        <v>-35.584917047261641</v>
      </c>
      <c r="AD189" s="72">
        <f t="shared" ca="1" si="80"/>
        <v>144.41508295273837</v>
      </c>
    </row>
    <row r="190" spans="1:30">
      <c r="A190" s="118">
        <v>10654</v>
      </c>
      <c r="B190" s="101">
        <f t="shared" ca="1" si="54"/>
        <v>546.34609436813787</v>
      </c>
      <c r="C190" s="102">
        <f t="shared" ca="1" si="55"/>
        <v>1.5689659841445738</v>
      </c>
      <c r="D190" s="102">
        <f t="shared" si="56"/>
        <v>14.193305086728017</v>
      </c>
      <c r="E190" s="103">
        <f t="shared" si="57"/>
        <v>1.5002821524713887</v>
      </c>
      <c r="F190" s="101">
        <f t="shared" si="58"/>
        <v>803.29329667230138</v>
      </c>
      <c r="G190" s="104">
        <f t="shared" si="59"/>
        <v>1.5695514511530502</v>
      </c>
      <c r="H190" s="113">
        <f t="shared" si="60"/>
        <v>1.4171268911949617</v>
      </c>
      <c r="I190" s="114">
        <f t="shared" si="61"/>
        <v>0.78745185556369834</v>
      </c>
      <c r="J190" s="101">
        <f t="shared" si="62"/>
        <v>1.0000224052740185</v>
      </c>
      <c r="K190" s="104">
        <f t="shared" si="63"/>
        <v>6.6940056313410387E-3</v>
      </c>
      <c r="L190" s="102">
        <f t="shared" si="64"/>
        <v>1</v>
      </c>
      <c r="M190" s="103">
        <f t="shared" si="65"/>
        <v>3.5144054497755004E-10</v>
      </c>
      <c r="N190" s="101">
        <f t="shared" si="66"/>
        <v>1</v>
      </c>
      <c r="O190" s="104">
        <f t="shared" si="67"/>
        <v>5.6230487196408E-11</v>
      </c>
      <c r="P190" s="105">
        <f t="shared" ca="1" si="68"/>
        <v>1.1629803676569821</v>
      </c>
      <c r="Q190" s="106">
        <f t="shared" ca="1" si="69"/>
        <v>0.55462179625848274</v>
      </c>
      <c r="R190" s="107">
        <f t="shared" ca="1" si="70"/>
        <v>-15.892486817234994</v>
      </c>
      <c r="S190" s="108">
        <f t="shared" ca="1" si="71"/>
        <v>-80.907326159642963</v>
      </c>
      <c r="T190" s="116">
        <f t="shared" ca="1" si="72"/>
        <v>99.092673840357037</v>
      </c>
      <c r="V190" s="72">
        <f t="shared" ca="1" si="73"/>
        <v>10654</v>
      </c>
      <c r="W190" s="72">
        <f t="shared" si="74"/>
        <v>113507716</v>
      </c>
      <c r="Y190" s="110">
        <f t="shared" si="75"/>
        <v>9.0128969725271162</v>
      </c>
      <c r="Z190" s="111">
        <f t="shared" si="76"/>
        <v>-45.194544291599016</v>
      </c>
      <c r="AA190" s="72">
        <f t="shared" si="77"/>
        <v>134.80545570840098</v>
      </c>
      <c r="AB190" s="110">
        <f t="shared" ca="1" si="78"/>
        <v>-8.9877834428806072</v>
      </c>
      <c r="AC190" s="111">
        <f t="shared" ca="1" si="79"/>
        <v>-35.712781868043962</v>
      </c>
      <c r="AD190" s="72">
        <f t="shared" ca="1" si="80"/>
        <v>144.28721813195602</v>
      </c>
    </row>
    <row r="191" spans="1:30">
      <c r="A191" s="118">
        <v>10715</v>
      </c>
      <c r="B191" s="101">
        <f t="shared" ca="1" si="54"/>
        <v>549.47421530144243</v>
      </c>
      <c r="C191" s="102">
        <f t="shared" ca="1" si="55"/>
        <v>1.5689764041776517</v>
      </c>
      <c r="D191" s="102">
        <f t="shared" si="56"/>
        <v>14.274167296466459</v>
      </c>
      <c r="E191" s="103">
        <f t="shared" si="57"/>
        <v>1.5006822683305621</v>
      </c>
      <c r="F191" s="101">
        <f t="shared" si="58"/>
        <v>807.89258476839393</v>
      </c>
      <c r="G191" s="104">
        <f t="shared" si="59"/>
        <v>1.5695585381653101</v>
      </c>
      <c r="H191" s="113">
        <f t="shared" si="60"/>
        <v>1.4212062595092836</v>
      </c>
      <c r="I191" s="114">
        <f t="shared" si="61"/>
        <v>0.79030639272319236</v>
      </c>
      <c r="J191" s="101">
        <f t="shared" si="62"/>
        <v>1.0000226625705833</v>
      </c>
      <c r="K191" s="104">
        <f t="shared" si="63"/>
        <v>6.7323313344041314E-3</v>
      </c>
      <c r="L191" s="102">
        <f t="shared" si="64"/>
        <v>1</v>
      </c>
      <c r="M191" s="103">
        <f t="shared" si="65"/>
        <v>3.5345273506987504E-10</v>
      </c>
      <c r="N191" s="101">
        <f t="shared" si="66"/>
        <v>1</v>
      </c>
      <c r="O191" s="104">
        <f t="shared" si="67"/>
        <v>5.6552437611180005E-11</v>
      </c>
      <c r="P191" s="105">
        <f t="shared" ca="1" si="68"/>
        <v>1.1647202101127907</v>
      </c>
      <c r="Q191" s="106">
        <f t="shared" ca="1" si="69"/>
        <v>0.55724012757333219</v>
      </c>
      <c r="R191" s="107">
        <f t="shared" ca="1" si="70"/>
        <v>-15.93034035045714</v>
      </c>
      <c r="S191" s="108">
        <f t="shared" ca="1" si="71"/>
        <v>-80.874066592308779</v>
      </c>
      <c r="T191" s="116">
        <f t="shared" ca="1" si="72"/>
        <v>99.125933407691221</v>
      </c>
      <c r="V191" s="72">
        <f t="shared" ca="1" si="73"/>
        <v>10715</v>
      </c>
      <c r="W191" s="72">
        <f t="shared" si="74"/>
        <v>114811225</v>
      </c>
      <c r="Y191" s="110">
        <f t="shared" si="75"/>
        <v>8.9882726033451963</v>
      </c>
      <c r="Z191" s="111">
        <f t="shared" si="76"/>
        <v>-45.03359331654022</v>
      </c>
      <c r="AA191" s="72">
        <f t="shared" si="77"/>
        <v>134.96640668345978</v>
      </c>
      <c r="AB191" s="110">
        <f t="shared" ca="1" si="78"/>
        <v>-9.0010126069208312</v>
      </c>
      <c r="AC191" s="111">
        <f t="shared" ca="1" si="79"/>
        <v>-35.840473275768559</v>
      </c>
      <c r="AD191" s="72">
        <f t="shared" ca="1" si="80"/>
        <v>144.15952672423145</v>
      </c>
    </row>
    <row r="192" spans="1:30">
      <c r="A192" s="118">
        <v>10777.5</v>
      </c>
      <c r="B192" s="101">
        <f t="shared" ca="1" si="54"/>
        <v>552.67925730247362</v>
      </c>
      <c r="C192" s="102">
        <f t="shared" ca="1" si="55"/>
        <v>1.5689869581015303</v>
      </c>
      <c r="D192" s="102">
        <f t="shared" si="56"/>
        <v>14.357020264341918</v>
      </c>
      <c r="E192" s="103">
        <f t="shared" si="57"/>
        <v>1.5010875483310355</v>
      </c>
      <c r="F192" s="101">
        <f t="shared" si="58"/>
        <v>812.60497015435476</v>
      </c>
      <c r="G192" s="104">
        <f t="shared" si="59"/>
        <v>1.569565716241025</v>
      </c>
      <c r="H192" s="113">
        <f t="shared" si="60"/>
        <v>1.4253978816892889</v>
      </c>
      <c r="I192" s="114">
        <f t="shared" si="61"/>
        <v>0.79321415257339944</v>
      </c>
      <c r="J192" s="101">
        <f t="shared" si="62"/>
        <v>1.0000229277176294</v>
      </c>
      <c r="K192" s="104">
        <f t="shared" si="63"/>
        <v>6.7715994522740087E-3</v>
      </c>
      <c r="L192" s="102">
        <f t="shared" si="64"/>
        <v>1</v>
      </c>
      <c r="M192" s="103">
        <f t="shared" si="65"/>
        <v>3.5551440524643755E-10</v>
      </c>
      <c r="N192" s="101">
        <f t="shared" si="66"/>
        <v>1</v>
      </c>
      <c r="O192" s="104">
        <f t="shared" si="67"/>
        <v>5.6882304839430001E-11</v>
      </c>
      <c r="P192" s="105">
        <f t="shared" ca="1" si="68"/>
        <v>1.1665104383918339</v>
      </c>
      <c r="Q192" s="106">
        <f t="shared" ca="1" si="69"/>
        <v>0.55991507577005939</v>
      </c>
      <c r="R192" s="107">
        <f t="shared" ca="1" si="70"/>
        <v>-15.968866449748628</v>
      </c>
      <c r="S192" s="108">
        <f t="shared" ca="1" si="71"/>
        <v>-80.840772499619888</v>
      </c>
      <c r="T192" s="116">
        <f t="shared" ca="1" si="72"/>
        <v>99.159227500380112</v>
      </c>
      <c r="V192" s="72">
        <f t="shared" ca="1" si="73"/>
        <v>10777.5</v>
      </c>
      <c r="W192" s="72">
        <f t="shared" si="74"/>
        <v>116154506.25</v>
      </c>
      <c r="Y192" s="110">
        <f t="shared" si="75"/>
        <v>8.9633332030644688</v>
      </c>
      <c r="Z192" s="111">
        <f t="shared" si="76"/>
        <v>-44.869652119866053</v>
      </c>
      <c r="AA192" s="72">
        <f t="shared" si="77"/>
        <v>135.13034788013394</v>
      </c>
      <c r="AB192" s="110">
        <f t="shared" ca="1" si="78"/>
        <v>-9.0145993059315916</v>
      </c>
      <c r="AC192" s="111">
        <f t="shared" ca="1" si="79"/>
        <v>-35.971120379753792</v>
      </c>
      <c r="AD192" s="72">
        <f t="shared" ca="1" si="80"/>
        <v>144.02887962024622</v>
      </c>
    </row>
    <row r="193" spans="1:30">
      <c r="A193" s="118">
        <v>10840</v>
      </c>
      <c r="B193" s="101">
        <f t="shared" ca="1" si="54"/>
        <v>555.88429936435523</v>
      </c>
      <c r="C193" s="102">
        <f t="shared" ca="1" si="55"/>
        <v>1.5689973903246532</v>
      </c>
      <c r="D193" s="102">
        <f t="shared" si="56"/>
        <v>14.439875563323366</v>
      </c>
      <c r="E193" s="103">
        <f t="shared" si="57"/>
        <v>1.5014881774430864</v>
      </c>
      <c r="F193" s="101">
        <f t="shared" si="58"/>
        <v>817.31735558170192</v>
      </c>
      <c r="G193" s="104">
        <f t="shared" si="59"/>
        <v>1.5695728115438512</v>
      </c>
      <c r="H193" s="113">
        <f t="shared" si="60"/>
        <v>1.4296014849726622</v>
      </c>
      <c r="I193" s="114">
        <f t="shared" si="61"/>
        <v>0.79610483677840904</v>
      </c>
      <c r="J193" s="101">
        <f t="shared" si="62"/>
        <v>1.0000231944066951</v>
      </c>
      <c r="K193" s="104">
        <f t="shared" si="63"/>
        <v>6.8108675492601677E-3</v>
      </c>
      <c r="L193" s="102">
        <f t="shared" si="64"/>
        <v>1</v>
      </c>
      <c r="M193" s="103">
        <f t="shared" si="65"/>
        <v>3.5757607542300001E-10</v>
      </c>
      <c r="N193" s="101">
        <f t="shared" si="66"/>
        <v>1</v>
      </c>
      <c r="O193" s="104">
        <f t="shared" si="67"/>
        <v>5.7212172067680004E-11</v>
      </c>
      <c r="P193" s="105">
        <f t="shared" ca="1" si="68"/>
        <v>1.1683083269997365</v>
      </c>
      <c r="Q193" s="106">
        <f t="shared" ca="1" si="69"/>
        <v>0.56258216378562287</v>
      </c>
      <c r="R193" s="107">
        <f t="shared" ca="1" si="70"/>
        <v>-16.007135030715091</v>
      </c>
      <c r="S193" s="108">
        <f t="shared" ca="1" si="71"/>
        <v>-80.80826117373141</v>
      </c>
      <c r="T193" s="116">
        <f t="shared" ca="1" si="72"/>
        <v>99.19173882626859</v>
      </c>
      <c r="V193" s="72">
        <f t="shared" ca="1" si="73"/>
        <v>10840</v>
      </c>
      <c r="W193" s="72">
        <f t="shared" si="74"/>
        <v>117505600</v>
      </c>
      <c r="Y193" s="110">
        <f t="shared" si="75"/>
        <v>8.9386835800833655</v>
      </c>
      <c r="Z193" s="111">
        <f t="shared" si="76"/>
        <v>-44.706684541861563</v>
      </c>
      <c r="AA193" s="72">
        <f t="shared" si="77"/>
        <v>135.29331545813844</v>
      </c>
      <c r="AB193" s="110">
        <f t="shared" ca="1" si="78"/>
        <v>-9.0282182639169566</v>
      </c>
      <c r="AC193" s="111">
        <f t="shared" ca="1" si="79"/>
        <v>-36.101576631869875</v>
      </c>
      <c r="AD193" s="72">
        <f t="shared" ca="1" si="80"/>
        <v>143.89842336813012</v>
      </c>
    </row>
    <row r="194" spans="1:30">
      <c r="A194" s="118">
        <v>10902.5</v>
      </c>
      <c r="B194" s="101">
        <f t="shared" ca="1" si="54"/>
        <v>559.08934148604089</v>
      </c>
      <c r="C194" s="102">
        <f t="shared" ca="1" si="55"/>
        <v>1.5690077029400076</v>
      </c>
      <c r="D194" s="102">
        <f t="shared" si="56"/>
        <v>14.522733153512428</v>
      </c>
      <c r="E194" s="103">
        <f t="shared" si="57"/>
        <v>1.5018842351421371</v>
      </c>
      <c r="F194" s="101">
        <f t="shared" si="58"/>
        <v>822.02974104972395</v>
      </c>
      <c r="G194" s="104">
        <f t="shared" si="59"/>
        <v>1.569579825497305</v>
      </c>
      <c r="H194" s="113">
        <f t="shared" si="60"/>
        <v>1.4338169639823477</v>
      </c>
      <c r="I194" s="114">
        <f t="shared" si="61"/>
        <v>0.79897854742542096</v>
      </c>
      <c r="J194" s="101">
        <f t="shared" si="62"/>
        <v>1.0000234626377791</v>
      </c>
      <c r="K194" s="104">
        <f t="shared" si="63"/>
        <v>6.8501356252415229E-3</v>
      </c>
      <c r="L194" s="102">
        <f t="shared" si="64"/>
        <v>1</v>
      </c>
      <c r="M194" s="103">
        <f t="shared" si="65"/>
        <v>3.5963774559956253E-10</v>
      </c>
      <c r="N194" s="101">
        <f t="shared" si="66"/>
        <v>1</v>
      </c>
      <c r="O194" s="104">
        <f t="shared" si="67"/>
        <v>5.754203929593E-11</v>
      </c>
      <c r="P194" s="105">
        <f t="shared" ca="1" si="68"/>
        <v>1.1701138408966676</v>
      </c>
      <c r="Q194" s="106">
        <f t="shared" ca="1" si="69"/>
        <v>0.56524139451797895</v>
      </c>
      <c r="R194" s="107">
        <f t="shared" ca="1" si="70"/>
        <v>-16.045149927357343</v>
      </c>
      <c r="S194" s="108">
        <f t="shared" ca="1" si="71"/>
        <v>-80.776522579386096</v>
      </c>
      <c r="T194" s="116">
        <f t="shared" ca="1" si="72"/>
        <v>99.223477420613904</v>
      </c>
      <c r="V194" s="72">
        <f t="shared" ca="1" si="73"/>
        <v>10902.5</v>
      </c>
      <c r="W194" s="72">
        <f t="shared" si="74"/>
        <v>118864506.25</v>
      </c>
      <c r="Y194" s="110">
        <f t="shared" si="75"/>
        <v>8.9143195368692929</v>
      </c>
      <c r="Z194" s="111">
        <f t="shared" si="76"/>
        <v>-44.544684814915563</v>
      </c>
      <c r="AA194" s="72">
        <f t="shared" si="77"/>
        <v>135.45531518508443</v>
      </c>
      <c r="AB194" s="110">
        <f t="shared" ca="1" si="78"/>
        <v>-9.0418691173451329</v>
      </c>
      <c r="AC194" s="111">
        <f t="shared" ca="1" si="79"/>
        <v>-36.231837764470484</v>
      </c>
      <c r="AD194" s="72">
        <f t="shared" ca="1" si="80"/>
        <v>143.76816223552953</v>
      </c>
    </row>
    <row r="195" spans="1:30">
      <c r="A195" s="118">
        <v>10965</v>
      </c>
      <c r="B195" s="101">
        <f t="shared" ca="1" si="54"/>
        <v>562.29438366650788</v>
      </c>
      <c r="C195" s="102">
        <f t="shared" ca="1" si="55"/>
        <v>1.5690178979928617</v>
      </c>
      <c r="D195" s="102">
        <f t="shared" si="56"/>
        <v>14.605592995915014</v>
      </c>
      <c r="E195" s="103">
        <f t="shared" si="57"/>
        <v>1.5022757991059155</v>
      </c>
      <c r="F195" s="101">
        <f t="shared" si="58"/>
        <v>826.7421265577251</v>
      </c>
      <c r="G195" s="104">
        <f t="shared" si="59"/>
        <v>1.5695867594924466</v>
      </c>
      <c r="H195" s="113">
        <f t="shared" si="60"/>
        <v>1.4380442142809304</v>
      </c>
      <c r="I195" s="114">
        <f t="shared" si="61"/>
        <v>0.80183538652769026</v>
      </c>
      <c r="J195" s="101">
        <f t="shared" si="62"/>
        <v>1.0000237324108803</v>
      </c>
      <c r="K195" s="104">
        <f t="shared" si="63"/>
        <v>6.8894036800969888E-3</v>
      </c>
      <c r="L195" s="102">
        <f t="shared" si="64"/>
        <v>1</v>
      </c>
      <c r="M195" s="103">
        <f t="shared" si="65"/>
        <v>3.6169941577612504E-10</v>
      </c>
      <c r="N195" s="101">
        <f t="shared" si="66"/>
        <v>1</v>
      </c>
      <c r="O195" s="104">
        <f t="shared" si="67"/>
        <v>5.7871906524180003E-11</v>
      </c>
      <c r="P195" s="105">
        <f t="shared" ca="1" si="68"/>
        <v>1.1719269451109919</v>
      </c>
      <c r="Q195" s="106">
        <f t="shared" ca="1" si="69"/>
        <v>0.5678927712550319</v>
      </c>
      <c r="R195" s="107">
        <f t="shared" ca="1" si="70"/>
        <v>-16.082914900667681</v>
      </c>
      <c r="S195" s="108">
        <f t="shared" ca="1" si="71"/>
        <v>-80.745546806311978</v>
      </c>
      <c r="T195" s="116">
        <f t="shared" ca="1" si="72"/>
        <v>99.254453193688022</v>
      </c>
      <c r="V195" s="72">
        <f t="shared" ca="1" si="73"/>
        <v>10965</v>
      </c>
      <c r="W195" s="72">
        <f t="shared" si="74"/>
        <v>120231225</v>
      </c>
      <c r="Y195" s="110">
        <f t="shared" si="75"/>
        <v>8.8902369484956871</v>
      </c>
      <c r="Z195" s="111">
        <f t="shared" si="76"/>
        <v>-44.383647173794046</v>
      </c>
      <c r="AA195" s="72">
        <f t="shared" si="77"/>
        <v>135.61635282620597</v>
      </c>
      <c r="AB195" s="110">
        <f t="shared" ca="1" si="78"/>
        <v>-9.05555150228186</v>
      </c>
      <c r="AC195" s="111">
        <f t="shared" ca="1" si="79"/>
        <v>-36.361899632517954</v>
      </c>
      <c r="AD195" s="72">
        <f t="shared" ca="1" si="80"/>
        <v>143.63810036748205</v>
      </c>
    </row>
    <row r="196" spans="1:30">
      <c r="A196" s="118">
        <v>11028.75</v>
      </c>
      <c r="B196" s="101">
        <f t="shared" ca="1" si="54"/>
        <v>565.5635267501043</v>
      </c>
      <c r="C196" s="102">
        <f t="shared" ca="1" si="55"/>
        <v>1.5690281779066455</v>
      </c>
      <c r="D196" s="102">
        <f t="shared" si="56"/>
        <v>14.690112315872369</v>
      </c>
      <c r="E196" s="103">
        <f t="shared" si="57"/>
        <v>1.5026706436391244</v>
      </c>
      <c r="F196" s="101">
        <f t="shared" si="58"/>
        <v>831.54875981636803</v>
      </c>
      <c r="G196" s="104">
        <f t="shared" si="59"/>
        <v>1.5695937512041973</v>
      </c>
      <c r="H196" s="113">
        <f t="shared" si="60"/>
        <v>1.4423680290325414</v>
      </c>
      <c r="I196" s="114">
        <f t="shared" si="61"/>
        <v>0.80473208704459831</v>
      </c>
      <c r="J196" s="101">
        <f t="shared" si="62"/>
        <v>1.0000240091680284</v>
      </c>
      <c r="K196" s="104">
        <f t="shared" si="63"/>
        <v>6.9294570741601043E-3</v>
      </c>
      <c r="L196" s="102">
        <f t="shared" si="64"/>
        <v>1</v>
      </c>
      <c r="M196" s="103">
        <f t="shared" si="65"/>
        <v>3.6380231935621879E-10</v>
      </c>
      <c r="N196" s="101">
        <f t="shared" si="66"/>
        <v>1</v>
      </c>
      <c r="O196" s="104">
        <f t="shared" si="67"/>
        <v>5.8208371096995E-11</v>
      </c>
      <c r="P196" s="105">
        <f t="shared" ca="1" si="68"/>
        <v>1.1737840947595177</v>
      </c>
      <c r="Q196" s="106">
        <f t="shared" ca="1" si="69"/>
        <v>0.57058908815170328</v>
      </c>
      <c r="R196" s="107">
        <f t="shared" ca="1" si="70"/>
        <v>-16.121181528418823</v>
      </c>
      <c r="S196" s="108">
        <f t="shared" ca="1" si="71"/>
        <v>-80.714727226819235</v>
      </c>
      <c r="T196" s="116">
        <f t="shared" ca="1" si="72"/>
        <v>99.285272773180765</v>
      </c>
      <c r="V196" s="72">
        <f t="shared" ca="1" si="73"/>
        <v>11028.75</v>
      </c>
      <c r="W196" s="72">
        <f t="shared" si="74"/>
        <v>121633326.5625</v>
      </c>
      <c r="Y196" s="110">
        <f t="shared" si="75"/>
        <v>8.8659584594131005</v>
      </c>
      <c r="Z196" s="111">
        <f t="shared" si="76"/>
        <v>-44.22037394538394</v>
      </c>
      <c r="AA196" s="72">
        <f t="shared" si="77"/>
        <v>135.77962605461607</v>
      </c>
      <c r="AB196" s="110">
        <f t="shared" ca="1" si="78"/>
        <v>-9.0695396409504223</v>
      </c>
      <c r="AC196" s="111">
        <f t="shared" ca="1" si="79"/>
        <v>-36.494353281435266</v>
      </c>
      <c r="AD196" s="72">
        <f t="shared" ca="1" si="80"/>
        <v>143.50564671856472</v>
      </c>
    </row>
    <row r="197" spans="1:30">
      <c r="A197" s="118">
        <v>11092.5</v>
      </c>
      <c r="B197" s="101">
        <f t="shared" ca="1" si="54"/>
        <v>568.8326698927807</v>
      </c>
      <c r="C197" s="102">
        <f t="shared" ca="1" si="55"/>
        <v>1.569038339660868</v>
      </c>
      <c r="D197" s="102">
        <f t="shared" si="56"/>
        <v>14.774633899847689</v>
      </c>
      <c r="E197" s="103">
        <f t="shared" si="57"/>
        <v>1.5030609706404157</v>
      </c>
      <c r="F197" s="101">
        <f t="shared" si="58"/>
        <v>836.35539311519301</v>
      </c>
      <c r="G197" s="104">
        <f t="shared" si="59"/>
        <v>1.5696006625515608</v>
      </c>
      <c r="H197" s="113">
        <f t="shared" si="60"/>
        <v>1.4467038741096458</v>
      </c>
      <c r="I197" s="114">
        <f t="shared" si="61"/>
        <v>0.80761144848397792</v>
      </c>
      <c r="J197" s="101">
        <f t="shared" si="62"/>
        <v>1.0000242875294882</v>
      </c>
      <c r="K197" s="104">
        <f t="shared" si="63"/>
        <v>6.9695104459893738E-3</v>
      </c>
      <c r="L197" s="102">
        <f t="shared" si="64"/>
        <v>1</v>
      </c>
      <c r="M197" s="103">
        <f t="shared" si="65"/>
        <v>3.6590522293631254E-10</v>
      </c>
      <c r="N197" s="101">
        <f t="shared" si="66"/>
        <v>1</v>
      </c>
      <c r="O197" s="104">
        <f t="shared" si="67"/>
        <v>5.8544835669809997E-11</v>
      </c>
      <c r="P197" s="105">
        <f t="shared" ca="1" si="68"/>
        <v>1.1756490681016336</v>
      </c>
      <c r="Q197" s="106">
        <f t="shared" ca="1" si="69"/>
        <v>0.57327724187853502</v>
      </c>
      <c r="R197" s="107">
        <f t="shared" ca="1" si="70"/>
        <v>-16.159195814921951</v>
      </c>
      <c r="S197" s="108">
        <f t="shared" ca="1" si="71"/>
        <v>-80.684680847765478</v>
      </c>
      <c r="T197" s="116">
        <f t="shared" ca="1" si="72"/>
        <v>99.315319152234522</v>
      </c>
      <c r="V197" s="72">
        <f t="shared" ca="1" si="73"/>
        <v>11092.5</v>
      </c>
      <c r="W197" s="72">
        <f t="shared" si="74"/>
        <v>123043556.25</v>
      </c>
      <c r="Y197" s="110">
        <f t="shared" si="75"/>
        <v>8.8419643513064408</v>
      </c>
      <c r="Z197" s="111">
        <f t="shared" si="76"/>
        <v>-44.058089567123901</v>
      </c>
      <c r="AA197" s="72">
        <f t="shared" si="77"/>
        <v>135.94191043287611</v>
      </c>
      <c r="AB197" s="110">
        <f t="shared" ca="1" si="78"/>
        <v>-9.0835598193468847</v>
      </c>
      <c r="AC197" s="111">
        <f t="shared" ca="1" si="79"/>
        <v>-36.626591280641605</v>
      </c>
      <c r="AD197" s="72">
        <f t="shared" ca="1" si="80"/>
        <v>143.37340871935839</v>
      </c>
    </row>
    <row r="198" spans="1:30">
      <c r="A198" s="118">
        <v>11156.25</v>
      </c>
      <c r="B198" s="101">
        <f t="shared" ca="1" si="54"/>
        <v>572.10181309352413</v>
      </c>
      <c r="C198" s="102">
        <f t="shared" ca="1" si="55"/>
        <v>1.5690483852811135</v>
      </c>
      <c r="D198" s="102">
        <f t="shared" si="56"/>
        <v>14.859157709206542</v>
      </c>
      <c r="E198" s="103">
        <f t="shared" si="57"/>
        <v>1.5034468570814781</v>
      </c>
      <c r="F198" s="101">
        <f t="shared" si="58"/>
        <v>841.16202645351154</v>
      </c>
      <c r="G198" s="104">
        <f t="shared" si="59"/>
        <v>1.5696074949122096</v>
      </c>
      <c r="H198" s="113">
        <f t="shared" si="60"/>
        <v>1.4510516416698538</v>
      </c>
      <c r="I198" s="114">
        <f t="shared" si="61"/>
        <v>0.81047357874622783</v>
      </c>
      <c r="J198" s="101">
        <f t="shared" si="62"/>
        <v>1.000024567495259</v>
      </c>
      <c r="K198" s="104">
        <f t="shared" si="63"/>
        <v>7.0095637954563058E-3</v>
      </c>
      <c r="L198" s="102">
        <f t="shared" si="64"/>
        <v>1</v>
      </c>
      <c r="M198" s="103">
        <f t="shared" si="65"/>
        <v>3.6800812651640629E-10</v>
      </c>
      <c r="N198" s="101">
        <f t="shared" si="66"/>
        <v>1</v>
      </c>
      <c r="O198" s="104">
        <f t="shared" si="67"/>
        <v>5.8881300242625007E-11</v>
      </c>
      <c r="P198" s="105">
        <f t="shared" ca="1" si="68"/>
        <v>1.1775218282555917</v>
      </c>
      <c r="Q198" s="106">
        <f t="shared" ca="1" si="69"/>
        <v>0.5759572371453332</v>
      </c>
      <c r="R198" s="107">
        <f t="shared" ca="1" si="70"/>
        <v>-16.19696152684417</v>
      </c>
      <c r="S198" s="108">
        <f t="shared" ca="1" si="71"/>
        <v>-80.655397541597338</v>
      </c>
      <c r="T198" s="116">
        <f t="shared" ca="1" si="72"/>
        <v>99.344602458402662</v>
      </c>
      <c r="V198" s="72">
        <f t="shared" ca="1" si="73"/>
        <v>11156.25</v>
      </c>
      <c r="W198" s="72">
        <f t="shared" si="74"/>
        <v>124461914.0625</v>
      </c>
      <c r="Y198" s="110">
        <f t="shared" si="75"/>
        <v>8.8182504707111367</v>
      </c>
      <c r="Z198" s="111">
        <f t="shared" si="76"/>
        <v>-43.896787935703891</v>
      </c>
      <c r="AA198" s="72">
        <f t="shared" si="77"/>
        <v>136.10321206429612</v>
      </c>
      <c r="AB198" s="110">
        <f t="shared" ca="1" si="78"/>
        <v>-9.0976116506738069</v>
      </c>
      <c r="AC198" s="111">
        <f t="shared" ca="1" si="79"/>
        <v>-36.758609605893476</v>
      </c>
      <c r="AD198" s="72">
        <f t="shared" ca="1" si="80"/>
        <v>143.24139039410653</v>
      </c>
    </row>
    <row r="199" spans="1:30">
      <c r="A199" s="118">
        <v>11220</v>
      </c>
      <c r="B199" s="101">
        <f t="shared" ca="1" si="54"/>
        <v>575.37095635134483</v>
      </c>
      <c r="C199" s="102">
        <f t="shared" ca="1" si="55"/>
        <v>1.5690583167469303</v>
      </c>
      <c r="D199" s="102">
        <f t="shared" si="56"/>
        <v>14.943683706187572</v>
      </c>
      <c r="E199" s="103">
        <f t="shared" si="57"/>
        <v>1.5038283781978592</v>
      </c>
      <c r="F199" s="101">
        <f t="shared" si="58"/>
        <v>845.96865983065027</v>
      </c>
      <c r="G199" s="104">
        <f t="shared" si="59"/>
        <v>1.5696142496325054</v>
      </c>
      <c r="H199" s="113">
        <f t="shared" si="60"/>
        <v>1.4554112248646356</v>
      </c>
      <c r="I199" s="114">
        <f t="shared" si="61"/>
        <v>0.81331858557345438</v>
      </c>
      <c r="J199" s="101">
        <f t="shared" si="62"/>
        <v>1.0000248490653389</v>
      </c>
      <c r="K199" s="104">
        <f t="shared" si="63"/>
        <v>7.0496171224324038E-3</v>
      </c>
      <c r="L199" s="102">
        <f t="shared" si="64"/>
        <v>1</v>
      </c>
      <c r="M199" s="103">
        <f t="shared" si="65"/>
        <v>3.7011103009650004E-10</v>
      </c>
      <c r="N199" s="101">
        <f t="shared" si="66"/>
        <v>1</v>
      </c>
      <c r="O199" s="104">
        <f t="shared" si="67"/>
        <v>5.9217764815440004E-11</v>
      </c>
      <c r="P199" s="105">
        <f t="shared" ca="1" si="68"/>
        <v>1.1794023384208587</v>
      </c>
      <c r="Q199" s="106">
        <f t="shared" ca="1" si="69"/>
        <v>0.57862907906164673</v>
      </c>
      <c r="R199" s="107">
        <f t="shared" ca="1" si="70"/>
        <v>-16.234482358574532</v>
      </c>
      <c r="S199" s="108">
        <f t="shared" ca="1" si="71"/>
        <v>-80.626867307776351</v>
      </c>
      <c r="T199" s="116">
        <f t="shared" ca="1" si="72"/>
        <v>99.373132692223649</v>
      </c>
      <c r="V199" s="72">
        <f t="shared" ca="1" si="73"/>
        <v>11220</v>
      </c>
      <c r="W199" s="72">
        <f t="shared" si="74"/>
        <v>125888400</v>
      </c>
      <c r="Y199" s="110">
        <f t="shared" si="75"/>
        <v>8.7948127364663424</v>
      </c>
      <c r="Z199" s="111">
        <f t="shared" si="76"/>
        <v>-43.736462955089415</v>
      </c>
      <c r="AA199" s="72">
        <f t="shared" si="77"/>
        <v>136.26353704491058</v>
      </c>
      <c r="AB199" s="110">
        <f t="shared" ca="1" si="78"/>
        <v>-9.1116947481593709</v>
      </c>
      <c r="AC199" s="111">
        <f t="shared" ca="1" si="79"/>
        <v>-36.8904043526869</v>
      </c>
      <c r="AD199" s="72">
        <f t="shared" ca="1" si="80"/>
        <v>143.10959564731309</v>
      </c>
    </row>
    <row r="200" spans="1:30">
      <c r="A200" s="118">
        <v>11285.5</v>
      </c>
      <c r="B200" s="101">
        <f t="shared" ca="1" si="54"/>
        <v>578.72984085506744</v>
      </c>
      <c r="C200" s="102">
        <f t="shared" ca="1" si="55"/>
        <v>1.5690684039766396</v>
      </c>
      <c r="D200" s="102">
        <f t="shared" si="56"/>
        <v>15.03053226438692</v>
      </c>
      <c r="E200" s="103">
        <f t="shared" si="57"/>
        <v>1.5042159030180426</v>
      </c>
      <c r="F200" s="101">
        <f t="shared" si="58"/>
        <v>850.90724004611877</v>
      </c>
      <c r="G200" s="104">
        <f t="shared" si="59"/>
        <v>1.5696211102928783</v>
      </c>
      <c r="H200" s="113">
        <f t="shared" si="60"/>
        <v>1.459902678243326</v>
      </c>
      <c r="I200" s="114">
        <f t="shared" si="61"/>
        <v>0.81622396871701597</v>
      </c>
      <c r="J200" s="101">
        <f t="shared" si="62"/>
        <v>1.0000251400357658</v>
      </c>
      <c r="K200" s="104">
        <f t="shared" si="63"/>
        <v>7.0907699289415064E-3</v>
      </c>
      <c r="L200" s="102">
        <f t="shared" si="64"/>
        <v>1</v>
      </c>
      <c r="M200" s="103">
        <f t="shared" si="65"/>
        <v>3.7227166044153753E-10</v>
      </c>
      <c r="N200" s="101">
        <f t="shared" si="66"/>
        <v>1</v>
      </c>
      <c r="O200" s="104">
        <f t="shared" si="67"/>
        <v>5.9563465670646003E-11</v>
      </c>
      <c r="P200" s="105">
        <f t="shared" ca="1" si="68"/>
        <v>1.1813425038906533</v>
      </c>
      <c r="Q200" s="106">
        <f t="shared" ca="1" si="69"/>
        <v>0.58136577929697664</v>
      </c>
      <c r="R200" s="107">
        <f t="shared" ca="1" si="70"/>
        <v>-16.272781926479251</v>
      </c>
      <c r="S200" s="108">
        <f t="shared" ca="1" si="71"/>
        <v>-80.59832787697043</v>
      </c>
      <c r="T200" s="116">
        <f t="shared" ca="1" si="72"/>
        <v>99.40167212302957</v>
      </c>
      <c r="V200" s="72">
        <f t="shared" ca="1" si="73"/>
        <v>11285.5</v>
      </c>
      <c r="W200" s="72">
        <f t="shared" si="74"/>
        <v>127362510.25</v>
      </c>
      <c r="Y200" s="110">
        <f t="shared" si="75"/>
        <v>8.771015019858833</v>
      </c>
      <c r="Z200" s="111">
        <f t="shared" si="76"/>
        <v>-43.572747731815966</v>
      </c>
      <c r="AA200" s="72">
        <f t="shared" si="77"/>
        <v>136.42725226818402</v>
      </c>
      <c r="AB200" s="110">
        <f t="shared" ca="1" si="78"/>
        <v>-9.1261965994565806</v>
      </c>
      <c r="AC200" s="111">
        <f t="shared" ca="1" si="79"/>
        <v>-37.025580145154485</v>
      </c>
      <c r="AD200" s="72">
        <f t="shared" ca="1" si="80"/>
        <v>142.97441985484551</v>
      </c>
    </row>
    <row r="201" spans="1:30">
      <c r="A201" s="118">
        <v>11351</v>
      </c>
      <c r="B201" s="101">
        <f t="shared" ca="1" si="54"/>
        <v>582.0887254169977</v>
      </c>
      <c r="C201" s="102">
        <f t="shared" ca="1" si="55"/>
        <v>1.569078374791657</v>
      </c>
      <c r="D201" s="102">
        <f t="shared" si="56"/>
        <v>15.117383053868375</v>
      </c>
      <c r="E201" s="103">
        <f t="shared" si="57"/>
        <v>1.5045989751620226</v>
      </c>
      <c r="F201" s="101">
        <f t="shared" si="58"/>
        <v>855.84582030117633</v>
      </c>
      <c r="G201" s="104">
        <f t="shared" si="59"/>
        <v>1.5696278917756215</v>
      </c>
      <c r="H201" s="113">
        <f t="shared" si="60"/>
        <v>1.46440637937303</v>
      </c>
      <c r="I201" s="114">
        <f t="shared" si="61"/>
        <v>0.81911150541883149</v>
      </c>
      <c r="J201" s="101">
        <f t="shared" si="62"/>
        <v>1.0000254326997877</v>
      </c>
      <c r="K201" s="104">
        <f t="shared" si="63"/>
        <v>7.1319227114330242E-3</v>
      </c>
      <c r="L201" s="102">
        <f t="shared" si="64"/>
        <v>1</v>
      </c>
      <c r="M201" s="103">
        <f t="shared" si="65"/>
        <v>3.7443229078657502E-10</v>
      </c>
      <c r="N201" s="101">
        <f t="shared" si="66"/>
        <v>1</v>
      </c>
      <c r="O201" s="104">
        <f t="shared" si="67"/>
        <v>5.9909166525852002E-11</v>
      </c>
      <c r="P201" s="105">
        <f t="shared" ca="1" si="68"/>
        <v>1.1832907722100692</v>
      </c>
      <c r="Q201" s="106">
        <f t="shared" ca="1" si="69"/>
        <v>0.58409388461140355</v>
      </c>
      <c r="R201" s="107">
        <f t="shared" ca="1" si="70"/>
        <v>-16.310830664713759</v>
      </c>
      <c r="S201" s="108">
        <f t="shared" ca="1" si="71"/>
        <v>-80.570562430827138</v>
      </c>
      <c r="T201" s="116">
        <f t="shared" ca="1" si="72"/>
        <v>99.429437569172862</v>
      </c>
      <c r="V201" s="72">
        <f t="shared" ca="1" si="73"/>
        <v>11351</v>
      </c>
      <c r="W201" s="72">
        <f t="shared" si="74"/>
        <v>128845201</v>
      </c>
      <c r="Y201" s="110">
        <f t="shared" si="75"/>
        <v>8.7475003119487997</v>
      </c>
      <c r="Z201" s="111">
        <f t="shared" si="76"/>
        <v>-43.410050496414925</v>
      </c>
      <c r="AA201" s="72">
        <f t="shared" si="77"/>
        <v>136.58994950358507</v>
      </c>
      <c r="AB201" s="110">
        <f t="shared" ca="1" si="78"/>
        <v>-9.1407306297810553</v>
      </c>
      <c r="AC201" s="111">
        <f t="shared" ca="1" si="79"/>
        <v>-37.160511934412249</v>
      </c>
      <c r="AD201" s="72">
        <f t="shared" ca="1" si="80"/>
        <v>142.83948806558774</v>
      </c>
    </row>
    <row r="202" spans="1:30">
      <c r="A202" s="118">
        <v>11416.5</v>
      </c>
      <c r="B202" s="101">
        <f t="shared" ca="1" si="54"/>
        <v>585.44761003613326</v>
      </c>
      <c r="C202" s="102">
        <f t="shared" ca="1" si="55"/>
        <v>1.569088231195696</v>
      </c>
      <c r="D202" s="102">
        <f t="shared" si="56"/>
        <v>15.204236036394843</v>
      </c>
      <c r="E202" s="103">
        <f t="shared" si="57"/>
        <v>1.5049776708230669</v>
      </c>
      <c r="F202" s="101">
        <f t="shared" si="58"/>
        <v>860.78440059514116</v>
      </c>
      <c r="G202" s="104">
        <f t="shared" si="59"/>
        <v>1.5696345954435325</v>
      </c>
      <c r="H202" s="113">
        <f t="shared" si="60"/>
        <v>1.468922215599298</v>
      </c>
      <c r="I202" s="114">
        <f t="shared" si="61"/>
        <v>0.82198131189872536</v>
      </c>
      <c r="J202" s="101">
        <f t="shared" si="62"/>
        <v>1.0000257270574033</v>
      </c>
      <c r="K202" s="104">
        <f t="shared" si="63"/>
        <v>7.1730754697675895E-3</v>
      </c>
      <c r="L202" s="102">
        <f t="shared" si="64"/>
        <v>1</v>
      </c>
      <c r="M202" s="103">
        <f t="shared" si="65"/>
        <v>3.7659292113161251E-10</v>
      </c>
      <c r="N202" s="101">
        <f t="shared" si="66"/>
        <v>1</v>
      </c>
      <c r="O202" s="104">
        <f t="shared" si="67"/>
        <v>6.0254867381058001E-11</v>
      </c>
      <c r="P202" s="105">
        <f t="shared" ca="1" si="68"/>
        <v>1.1852471037435679</v>
      </c>
      <c r="Q202" s="106">
        <f t="shared" ca="1" si="69"/>
        <v>0.58681340182817321</v>
      </c>
      <c r="R202" s="107">
        <f t="shared" ca="1" si="70"/>
        <v>-16.348632352380186</v>
      </c>
      <c r="S202" s="108">
        <f t="shared" ca="1" si="71"/>
        <v>-80.543560528710501</v>
      </c>
      <c r="T202" s="116">
        <f t="shared" ca="1" si="72"/>
        <v>99.456439471289499</v>
      </c>
      <c r="V202" s="72">
        <f t="shared" ca="1" si="73"/>
        <v>11416.5</v>
      </c>
      <c r="W202" s="72">
        <f t="shared" si="74"/>
        <v>130336472.25</v>
      </c>
      <c r="Y202" s="110">
        <f t="shared" si="75"/>
        <v>8.7242644148968385</v>
      </c>
      <c r="Z202" s="111">
        <f t="shared" si="76"/>
        <v>-43.248364668055423</v>
      </c>
      <c r="AA202" s="72">
        <f t="shared" si="77"/>
        <v>136.75163533194458</v>
      </c>
      <c r="AB202" s="110">
        <f t="shared" ca="1" si="78"/>
        <v>-9.1552964203955209</v>
      </c>
      <c r="AC202" s="111">
        <f t="shared" ca="1" si="79"/>
        <v>-37.295195860655056</v>
      </c>
      <c r="AD202" s="72">
        <f t="shared" ca="1" si="80"/>
        <v>142.70480413934496</v>
      </c>
    </row>
    <row r="203" spans="1:30">
      <c r="A203" s="118">
        <v>11482</v>
      </c>
      <c r="B203" s="101">
        <f t="shared" ca="1" si="54"/>
        <v>588.80649471149547</v>
      </c>
      <c r="C203" s="102">
        <f t="shared" ca="1" si="55"/>
        <v>1.5690979751467491</v>
      </c>
      <c r="D203" s="102">
        <f t="shared" si="56"/>
        <v>15.29109117459701</v>
      </c>
      <c r="E203" s="103">
        <f t="shared" si="57"/>
        <v>1.5053520644683853</v>
      </c>
      <c r="F203" s="101">
        <f t="shared" si="58"/>
        <v>865.72298092734775</v>
      </c>
      <c r="G203" s="104">
        <f t="shared" si="59"/>
        <v>1.5696412226283116</v>
      </c>
      <c r="H203" s="113">
        <f t="shared" si="60"/>
        <v>1.4734500753470432</v>
      </c>
      <c r="I203" s="114">
        <f t="shared" si="61"/>
        <v>0.82483350412189094</v>
      </c>
      <c r="J203" s="101">
        <f t="shared" si="62"/>
        <v>1.0000260231086109</v>
      </c>
      <c r="K203" s="104">
        <f t="shared" si="63"/>
        <v>7.2142282038058364E-3</v>
      </c>
      <c r="L203" s="102">
        <f t="shared" si="64"/>
        <v>1</v>
      </c>
      <c r="M203" s="103">
        <f t="shared" si="65"/>
        <v>3.7875355147665006E-10</v>
      </c>
      <c r="N203" s="101">
        <f t="shared" si="66"/>
        <v>1</v>
      </c>
      <c r="O203" s="104">
        <f t="shared" si="67"/>
        <v>6.0600568236264E-11</v>
      </c>
      <c r="P203" s="105">
        <f t="shared" ca="1" si="68"/>
        <v>1.1872114589538931</v>
      </c>
      <c r="Q203" s="106">
        <f t="shared" ca="1" si="69"/>
        <v>0.58952433819080174</v>
      </c>
      <c r="R203" s="107">
        <f t="shared" ca="1" si="70"/>
        <v>-16.386190694961037</v>
      </c>
      <c r="S203" s="108">
        <f t="shared" ca="1" si="71"/>
        <v>-80.517311863147782</v>
      </c>
      <c r="T203" s="116">
        <f t="shared" ca="1" si="72"/>
        <v>99.482688136852218</v>
      </c>
      <c r="V203" s="72">
        <f t="shared" ca="1" si="73"/>
        <v>11482</v>
      </c>
      <c r="W203" s="72">
        <f t="shared" si="74"/>
        <v>131836324</v>
      </c>
      <c r="Y203" s="110">
        <f t="shared" si="75"/>
        <v>8.7013032049598564</v>
      </c>
      <c r="Z203" s="111">
        <f t="shared" si="76"/>
        <v>-43.087683678714122</v>
      </c>
      <c r="AA203" s="72">
        <f t="shared" si="77"/>
        <v>136.91231632128589</v>
      </c>
      <c r="AB203" s="110">
        <f t="shared" ca="1" si="78"/>
        <v>-9.1698935530393904</v>
      </c>
      <c r="AC203" s="111">
        <f t="shared" ca="1" si="79"/>
        <v>-37.42962818443371</v>
      </c>
      <c r="AD203" s="72">
        <f t="shared" ca="1" si="80"/>
        <v>142.57037181556629</v>
      </c>
    </row>
    <row r="204" spans="1:30">
      <c r="A204" s="118">
        <v>11548.75</v>
      </c>
      <c r="B204" s="101">
        <f t="shared" ca="1" si="54"/>
        <v>592.22948029629697</v>
      </c>
      <c r="C204" s="102">
        <f t="shared" ca="1" si="55"/>
        <v>1.5691077913395326</v>
      </c>
      <c r="D204" s="102">
        <f t="shared" si="56"/>
        <v>15.379606033567898</v>
      </c>
      <c r="E204" s="103">
        <f t="shared" si="57"/>
        <v>1.5057292524370662</v>
      </c>
      <c r="F204" s="101">
        <f t="shared" si="58"/>
        <v>870.75580901448723</v>
      </c>
      <c r="G204" s="104">
        <f t="shared" si="59"/>
        <v>1.569647898946972</v>
      </c>
      <c r="H204" s="113">
        <f t="shared" si="60"/>
        <v>1.4780766001232788</v>
      </c>
      <c r="I204" s="114">
        <f t="shared" si="61"/>
        <v>0.82772212558620051</v>
      </c>
      <c r="J204" s="101">
        <f t="shared" si="62"/>
        <v>1.0000263265520304</v>
      </c>
      <c r="K204" s="104">
        <f t="shared" si="63"/>
        <v>7.2561662702233538E-3</v>
      </c>
      <c r="L204" s="102">
        <f t="shared" si="64"/>
        <v>1</v>
      </c>
      <c r="M204" s="103">
        <f t="shared" si="65"/>
        <v>3.8095541522521878E-10</v>
      </c>
      <c r="N204" s="101">
        <f t="shared" si="66"/>
        <v>1</v>
      </c>
      <c r="O204" s="104">
        <f t="shared" si="67"/>
        <v>6.0952866436035006E-11</v>
      </c>
      <c r="P204" s="105">
        <f t="shared" ca="1" si="68"/>
        <v>1.189221515851596</v>
      </c>
      <c r="Q204" s="106">
        <f t="shared" ca="1" si="69"/>
        <v>0.59227818985854408</v>
      </c>
      <c r="R204" s="107">
        <f t="shared" ca="1" si="70"/>
        <v>-16.424219206031893</v>
      </c>
      <c r="S204" s="108">
        <f t="shared" ca="1" si="71"/>
        <v>-80.491326669280468</v>
      </c>
      <c r="T204" s="116">
        <f t="shared" ca="1" si="72"/>
        <v>99.508673330719532</v>
      </c>
      <c r="V204" s="72">
        <f t="shared" ca="1" si="73"/>
        <v>11548.75</v>
      </c>
      <c r="W204" s="72">
        <f t="shared" si="74"/>
        <v>133373626.5625</v>
      </c>
      <c r="Y204" s="110">
        <f t="shared" si="75"/>
        <v>8.678182210254386</v>
      </c>
      <c r="Z204" s="111">
        <f t="shared" si="76"/>
        <v>-42.92496325899495</v>
      </c>
      <c r="AA204" s="72">
        <f t="shared" si="77"/>
        <v>137.07503674100505</v>
      </c>
      <c r="AB204" s="110">
        <f t="shared" ca="1" si="78"/>
        <v>-9.1848010694047737</v>
      </c>
      <c r="AC204" s="111">
        <f t="shared" ca="1" si="79"/>
        <v>-37.566363410285504</v>
      </c>
      <c r="AD204" s="72">
        <f t="shared" ca="1" si="80"/>
        <v>142.4336365897145</v>
      </c>
    </row>
    <row r="205" spans="1:30">
      <c r="A205" s="118">
        <v>11615.5</v>
      </c>
      <c r="B205" s="101">
        <f t="shared" ca="1" si="54"/>
        <v>595.65246593750828</v>
      </c>
      <c r="C205" s="102">
        <f t="shared" ca="1" si="55"/>
        <v>1.5691174947125472</v>
      </c>
      <c r="D205" s="102">
        <f t="shared" si="56"/>
        <v>15.468123055564874</v>
      </c>
      <c r="E205" s="103">
        <f t="shared" si="57"/>
        <v>1.5061021235084453</v>
      </c>
      <c r="F205" s="101">
        <f t="shared" si="58"/>
        <v>875.78863713999306</v>
      </c>
      <c r="G205" s="104">
        <f t="shared" si="59"/>
        <v>1.5696544985330445</v>
      </c>
      <c r="H205" s="113">
        <f t="shared" si="60"/>
        <v>1.4827153811417282</v>
      </c>
      <c r="I205" s="114">
        <f t="shared" si="61"/>
        <v>0.83059269636102739</v>
      </c>
      <c r="J205" s="101">
        <f t="shared" si="62"/>
        <v>1.0000266317542965</v>
      </c>
      <c r="K205" s="104">
        <f t="shared" si="63"/>
        <v>7.2981043111161282E-3</v>
      </c>
      <c r="L205" s="102">
        <f t="shared" si="64"/>
        <v>1</v>
      </c>
      <c r="M205" s="103">
        <f t="shared" si="65"/>
        <v>3.8315727897378756E-10</v>
      </c>
      <c r="N205" s="101">
        <f t="shared" si="66"/>
        <v>1</v>
      </c>
      <c r="O205" s="104">
        <f t="shared" si="67"/>
        <v>6.1305164635805999E-11</v>
      </c>
      <c r="P205" s="105">
        <f t="shared" ca="1" si="68"/>
        <v>1.1912398230098271</v>
      </c>
      <c r="Q205" s="106">
        <f t="shared" ca="1" si="69"/>
        <v>0.59502314652713484</v>
      </c>
      <c r="R205" s="107">
        <f t="shared" ca="1" si="70"/>
        <v>-16.462002539037837</v>
      </c>
      <c r="S205" s="108">
        <f t="shared" ca="1" si="71"/>
        <v>-80.466102535811956</v>
      </c>
      <c r="T205" s="116">
        <f t="shared" ca="1" si="72"/>
        <v>99.533897464188044</v>
      </c>
      <c r="V205" s="72">
        <f t="shared" ca="1" si="73"/>
        <v>11615.5</v>
      </c>
      <c r="W205" s="72">
        <f t="shared" si="74"/>
        <v>134919840.25</v>
      </c>
      <c r="Y205" s="110">
        <f t="shared" si="75"/>
        <v>8.655338068216027</v>
      </c>
      <c r="Z205" s="111">
        <f t="shared" si="76"/>
        <v>-42.76327266968574</v>
      </c>
      <c r="AA205" s="72">
        <f t="shared" si="77"/>
        <v>137.23672733031427</v>
      </c>
      <c r="AB205" s="110">
        <f t="shared" ca="1" si="78"/>
        <v>-9.1997402603723586</v>
      </c>
      <c r="AC205" s="111">
        <f t="shared" ca="1" si="79"/>
        <v>-37.702829866126208</v>
      </c>
      <c r="AD205" s="72">
        <f t="shared" ca="1" si="80"/>
        <v>142.29717013387381</v>
      </c>
    </row>
    <row r="206" spans="1:30">
      <c r="A206" s="118">
        <v>11682.25</v>
      </c>
      <c r="B206" s="101">
        <f t="shared" ref="B206:B269" ca="1" si="81">SQRT(1+(A206/Pole1)^2)</f>
        <v>599.07545163416262</v>
      </c>
      <c r="C206" s="102">
        <f t="shared" ref="C206:C269" ca="1" si="82">ATAN(A206/Pole1)</f>
        <v>1.5691270871996741</v>
      </c>
      <c r="D206" s="102">
        <f t="shared" ref="D206:D269" si="83">SQRT(1+(A206/Zero1)^2)</f>
        <v>15.556642203665202</v>
      </c>
      <c r="E206" s="103">
        <f t="shared" ref="E206:E269" si="84">ATAN(A206/Zero1)</f>
        <v>1.5064707512689246</v>
      </c>
      <c r="F206" s="101">
        <f t="shared" ref="F206:F269" si="85">SQRT(1+(A206/Pole2)^2)</f>
        <v>880.82146530320767</v>
      </c>
      <c r="G206" s="104">
        <f t="shared" ref="G206:G269" si="86">ATAN(A206/Pole2)</f>
        <v>1.5696610227018304</v>
      </c>
      <c r="H206" s="113">
        <f t="shared" ref="H206:H269" si="87">SQRT(1+(A206/Zero2)^2)</f>
        <v>1.4873663037285116</v>
      </c>
      <c r="I206" s="114">
        <f t="shared" ref="I206:I269" si="88">ATAN(A206/Zero2)</f>
        <v>0.83344533824760991</v>
      </c>
      <c r="J206" s="101">
        <f t="shared" ref="J206:J269" si="89">SQRT(1+(A206/pole4)^2)</f>
        <v>1.0000269387154077</v>
      </c>
      <c r="K206" s="104">
        <f t="shared" ref="K206:K269" si="90">ATAN(A206/pole4)</f>
        <v>7.3400423263366606E-3</v>
      </c>
      <c r="L206" s="102">
        <f t="shared" ref="L206:L269" si="91">SQRT(1+(A206/Zerofeed)^2)</f>
        <v>1</v>
      </c>
      <c r="M206" s="103">
        <f t="shared" ref="M206:M269" si="92">ATAN(A206/Zerofeed)</f>
        <v>3.8535914272235629E-10</v>
      </c>
      <c r="N206" s="101">
        <f t="shared" ref="N206:N269" si="93">SQRT(1+(A206/Polefeed)^2)</f>
        <v>1</v>
      </c>
      <c r="O206" s="104">
        <f t="shared" ref="O206:O269" si="94">ATAN(A206/Polefeed)</f>
        <v>6.1657462835577005E-11</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-16.499544390136641</v>
      </c>
      <c r="S206" s="108">
        <f t="shared" ref="S206:S269" ca="1" si="98">((E206+I206+M206)-(C206+G206+Q206+K206+O206))*radconv</f>
        <v>-80.441628968098613</v>
      </c>
      <c r="T206" s="116">
        <f t="shared" ref="T206:T269" ca="1" si="99">IF(S206&gt;0,S206,S206+180)</f>
        <v>99.558371031901387</v>
      </c>
      <c r="V206" s="72">
        <f t="shared" ref="V206:V269" ca="1" si="100">IF(R206&lt;0,A206,1000000000)</f>
        <v>11682.25</v>
      </c>
      <c r="W206" s="72">
        <f t="shared" ref="W206:W269" si="101">A206^2</f>
        <v>136474965.0625</v>
      </c>
      <c r="Y206" s="110">
        <f t="shared" ref="Y206:Y269" si="102">20*LOG10(((H206*L206)/(F206*J206*N206))*Aea)</f>
        <v>8.6327666421919211</v>
      </c>
      <c r="Z206" s="111">
        <f t="shared" ref="Z206:Z269" si="103">(I206+M206-(G206+K206+O206))*radconv</f>
        <v>-42.602605007442314</v>
      </c>
      <c r="AA206" s="72">
        <f t="shared" ref="AA206:AA269" si="104">IF(Z206&gt;0,Z206,Z206+180)</f>
        <v>137.39739499255768</v>
      </c>
      <c r="AB206" s="110">
        <f t="shared" ref="AB206:AB269" ca="1" si="105">20*LOG10((D206/(B206*P206))*Acs*Am)</f>
        <v>-9.2147106854470593</v>
      </c>
      <c r="AC206" s="111">
        <f t="shared" ref="AC206:AC269" ca="1" si="106">(E206-(C206+Q206))*radconv</f>
        <v>-37.839023960656291</v>
      </c>
      <c r="AD206" s="72">
        <f t="shared" ref="AD206:AD269" ca="1" si="107">IF(AC206&gt;0,AC206,AC206+180)</f>
        <v>142.16097603934372</v>
      </c>
    </row>
    <row r="207" spans="1:30">
      <c r="A207" s="118">
        <v>11749</v>
      </c>
      <c r="B207" s="101">
        <f t="shared" ca="1" si="81"/>
        <v>602.49843738531501</v>
      </c>
      <c r="C207" s="102">
        <f t="shared" ca="1" si="82"/>
        <v>1.5691365706908449</v>
      </c>
      <c r="D207" s="102">
        <f t="shared" si="83"/>
        <v>15.645163441780884</v>
      </c>
      <c r="E207" s="103">
        <f t="shared" si="84"/>
        <v>1.5068352076441553</v>
      </c>
      <c r="F207" s="101">
        <f t="shared" si="85"/>
        <v>885.85429350348807</v>
      </c>
      <c r="G207" s="104">
        <f t="shared" si="86"/>
        <v>1.5696674727387399</v>
      </c>
      <c r="H207" s="113">
        <f t="shared" si="87"/>
        <v>1.4920292543413003</v>
      </c>
      <c r="I207" s="114">
        <f t="shared" si="88"/>
        <v>0.83628017269768673</v>
      </c>
      <c r="J207" s="101">
        <f t="shared" si="89"/>
        <v>1.0000272474353622</v>
      </c>
      <c r="K207" s="104">
        <f t="shared" si="90"/>
        <v>7.3819803157374551E-3</v>
      </c>
      <c r="L207" s="102">
        <f t="shared" si="91"/>
        <v>1</v>
      </c>
      <c r="M207" s="103">
        <f t="shared" si="92"/>
        <v>3.8756100647092501E-10</v>
      </c>
      <c r="N207" s="101">
        <f t="shared" si="93"/>
        <v>1</v>
      </c>
      <c r="O207" s="104">
        <f t="shared" si="94"/>
        <v>6.2009761035347998E-11</v>
      </c>
      <c r="P207" s="105">
        <f t="shared" ca="1" si="95"/>
        <v>1.1953010221521025</v>
      </c>
      <c r="Q207" s="106">
        <f t="shared" ca="1" si="96"/>
        <v>0.60048641118283308</v>
      </c>
      <c r="R207" s="107">
        <f t="shared" ca="1" si="97"/>
        <v>-16.536848382963672</v>
      </c>
      <c r="S207" s="108">
        <f t="shared" ca="1" si="98"/>
        <v>-80.417895606846798</v>
      </c>
      <c r="T207" s="116">
        <f t="shared" ca="1" si="99"/>
        <v>99.582104393153202</v>
      </c>
      <c r="V207" s="72">
        <f t="shared" ca="1" si="100"/>
        <v>11749</v>
      </c>
      <c r="W207" s="72">
        <f t="shared" si="101"/>
        <v>138039001</v>
      </c>
      <c r="Y207" s="110">
        <f t="shared" si="102"/>
        <v>8.6104638689849562</v>
      </c>
      <c r="Z207" s="111">
        <f t="shared" si="103"/>
        <v>-42.44295338723277</v>
      </c>
      <c r="AA207" s="72">
        <f t="shared" si="104"/>
        <v>137.55704661276724</v>
      </c>
      <c r="AB207" s="110">
        <f t="shared" ca="1" si="105"/>
        <v>-9.2297119050671235</v>
      </c>
      <c r="AC207" s="111">
        <f t="shared" ca="1" si="106"/>
        <v>-37.974942219614</v>
      </c>
      <c r="AD207" s="72">
        <f t="shared" ca="1" si="107"/>
        <v>142.02505778038599</v>
      </c>
    </row>
    <row r="208" spans="1:30">
      <c r="A208" s="118">
        <v>11817.5</v>
      </c>
      <c r="B208" s="101">
        <f t="shared" ca="1" si="81"/>
        <v>606.01116439162729</v>
      </c>
      <c r="C208" s="102">
        <f t="shared" ca="1" si="82"/>
        <v>1.5691461914300993</v>
      </c>
      <c r="D208" s="102">
        <f t="shared" si="83"/>
        <v>15.736007597354293</v>
      </c>
      <c r="E208" s="103">
        <f t="shared" si="84"/>
        <v>1.5072049559219971</v>
      </c>
      <c r="F208" s="101">
        <f t="shared" si="85"/>
        <v>891.01906854839524</v>
      </c>
      <c r="G208" s="104">
        <f t="shared" si="86"/>
        <v>1.5696740161225118</v>
      </c>
      <c r="H208" s="113">
        <f t="shared" si="87"/>
        <v>1.4968268418750306</v>
      </c>
      <c r="I208" s="114">
        <f t="shared" si="88"/>
        <v>0.83917094178731533</v>
      </c>
      <c r="J208" s="101">
        <f t="shared" si="89"/>
        <v>1.0000275660777125</v>
      </c>
      <c r="K208" s="104">
        <f t="shared" si="90"/>
        <v>7.4250177759890255E-3</v>
      </c>
      <c r="L208" s="102">
        <f t="shared" si="91"/>
        <v>1</v>
      </c>
      <c r="M208" s="103">
        <f t="shared" si="92"/>
        <v>3.8982059698443753E-10</v>
      </c>
      <c r="N208" s="101">
        <f t="shared" si="93"/>
        <v>1</v>
      </c>
      <c r="O208" s="104">
        <f t="shared" si="94"/>
        <v>6.2371295517510006E-11</v>
      </c>
      <c r="P208" s="105">
        <f t="shared" ca="1" si="95"/>
        <v>1.1973974971823478</v>
      </c>
      <c r="Q208" s="106">
        <f t="shared" ca="1" si="96"/>
        <v>0.60327588620431871</v>
      </c>
      <c r="R208" s="107">
        <f t="shared" ca="1" si="97"/>
        <v>-16.574886814573798</v>
      </c>
      <c r="S208" s="108">
        <f t="shared" ca="1" si="98"/>
        <v>-80.394298869176538</v>
      </c>
      <c r="T208" s="116">
        <f t="shared" ca="1" si="99"/>
        <v>99.605701130823462</v>
      </c>
      <c r="V208" s="72">
        <f t="shared" ca="1" si="100"/>
        <v>11817.5</v>
      </c>
      <c r="W208" s="72">
        <f t="shared" si="101"/>
        <v>139653306.25</v>
      </c>
      <c r="Y208" s="110">
        <f t="shared" si="102"/>
        <v>8.5878515036403584</v>
      </c>
      <c r="Z208" s="111">
        <f t="shared" si="103"/>
        <v>-42.280165291662641</v>
      </c>
      <c r="AA208" s="72">
        <f t="shared" si="104"/>
        <v>137.71983470833737</v>
      </c>
      <c r="AB208" s="110">
        <f t="shared" ca="1" si="105"/>
        <v>-9.2451379713326496</v>
      </c>
      <c r="AC208" s="111">
        <f t="shared" ca="1" si="106"/>
        <v>-38.114133577513861</v>
      </c>
      <c r="AD208" s="72">
        <f t="shared" ca="1" si="107"/>
        <v>141.88586642248615</v>
      </c>
    </row>
    <row r="209" spans="1:30">
      <c r="A209" s="118">
        <v>11886</v>
      </c>
      <c r="B209" s="101">
        <f t="shared" ca="1" si="81"/>
        <v>609.52389145338464</v>
      </c>
      <c r="C209" s="102">
        <f t="shared" ca="1" si="82"/>
        <v>1.5691557012794237</v>
      </c>
      <c r="D209" s="102">
        <f t="shared" si="83"/>
        <v>15.826853879560034</v>
      </c>
      <c r="E209" s="103">
        <f t="shared" si="84"/>
        <v>1.5075704595325166</v>
      </c>
      <c r="F209" s="101">
        <f t="shared" si="85"/>
        <v>896.18384363101234</v>
      </c>
      <c r="G209" s="104">
        <f t="shared" si="86"/>
        <v>1.5696804840862557</v>
      </c>
      <c r="H209" s="113">
        <f t="shared" si="87"/>
        <v>1.5016368577245833</v>
      </c>
      <c r="I209" s="114">
        <f t="shared" si="88"/>
        <v>0.84204321543354488</v>
      </c>
      <c r="J209" s="101">
        <f t="shared" si="89"/>
        <v>1.0000278865723358</v>
      </c>
      <c r="K209" s="104">
        <f t="shared" si="90"/>
        <v>7.4680552087345317E-3</v>
      </c>
      <c r="L209" s="102">
        <f t="shared" si="91"/>
        <v>1</v>
      </c>
      <c r="M209" s="103">
        <f t="shared" si="92"/>
        <v>3.9208018749795005E-10</v>
      </c>
      <c r="N209" s="101">
        <f t="shared" si="93"/>
        <v>1</v>
      </c>
      <c r="O209" s="104">
        <f t="shared" si="94"/>
        <v>6.2732829999672002E-11</v>
      </c>
      <c r="P209" s="105">
        <f t="shared" ca="1" si="95"/>
        <v>1.1995024854430387</v>
      </c>
      <c r="Q209" s="106">
        <f t="shared" ca="1" si="96"/>
        <v>0.60605603445737566</v>
      </c>
      <c r="R209" s="107">
        <f t="shared" ca="1" si="97"/>
        <v>-16.612682257283147</v>
      </c>
      <c r="S209" s="108">
        <f t="shared" ca="1" si="98"/>
        <v>-80.371459983059438</v>
      </c>
      <c r="T209" s="116">
        <f t="shared" ca="1" si="99"/>
        <v>99.628540016940562</v>
      </c>
      <c r="V209" s="72">
        <f t="shared" ca="1" si="100"/>
        <v>11886</v>
      </c>
      <c r="W209" s="72">
        <f t="shared" si="101"/>
        <v>141276996</v>
      </c>
      <c r="Y209" s="110">
        <f t="shared" si="102"/>
        <v>8.5655136230699043</v>
      </c>
      <c r="Z209" s="111">
        <f t="shared" si="103"/>
        <v>-42.11843258411546</v>
      </c>
      <c r="AA209" s="72">
        <f t="shared" si="104"/>
        <v>137.88156741588455</v>
      </c>
      <c r="AB209" s="110">
        <f t="shared" ca="1" si="105"/>
        <v>-9.26059553347155</v>
      </c>
      <c r="AC209" s="111">
        <f t="shared" ca="1" si="106"/>
        <v>-38.253027398943942</v>
      </c>
      <c r="AD209" s="72">
        <f t="shared" ca="1" si="107"/>
        <v>141.74697260105606</v>
      </c>
    </row>
    <row r="210" spans="1:30">
      <c r="A210" s="118">
        <v>11954.5</v>
      </c>
      <c r="B210" s="101">
        <f t="shared" ca="1" si="81"/>
        <v>613.0366185696339</v>
      </c>
      <c r="C210" s="102">
        <f t="shared" ca="1" si="82"/>
        <v>1.5691651021450288</v>
      </c>
      <c r="D210" s="102">
        <f t="shared" si="83"/>
        <v>15.917702251986452</v>
      </c>
      <c r="E210" s="103">
        <f t="shared" si="84"/>
        <v>1.5079317910549961</v>
      </c>
      <c r="F210" s="101">
        <f t="shared" si="85"/>
        <v>901.34861875069123</v>
      </c>
      <c r="G210" s="104">
        <f t="shared" si="86"/>
        <v>1.569686877926453</v>
      </c>
      <c r="H210" s="113">
        <f t="shared" si="87"/>
        <v>1.5064591828418068</v>
      </c>
      <c r="I210" s="114">
        <f t="shared" si="88"/>
        <v>0.84489712363397895</v>
      </c>
      <c r="J210" s="101">
        <f t="shared" si="89"/>
        <v>1.0000282089192301</v>
      </c>
      <c r="K210" s="104">
        <f t="shared" si="90"/>
        <v>7.5110926138145691E-3</v>
      </c>
      <c r="L210" s="102">
        <f t="shared" si="91"/>
        <v>1</v>
      </c>
      <c r="M210" s="103">
        <f t="shared" si="92"/>
        <v>3.9433977801146252E-10</v>
      </c>
      <c r="N210" s="101">
        <f t="shared" si="93"/>
        <v>1</v>
      </c>
      <c r="O210" s="104">
        <f t="shared" si="94"/>
        <v>6.3094364481833997E-11</v>
      </c>
      <c r="P210" s="105">
        <f t="shared" ca="1" si="95"/>
        <v>1.201615942574225</v>
      </c>
      <c r="Q210" s="106">
        <f t="shared" ca="1" si="96"/>
        <v>0.60882686745287484</v>
      </c>
      <c r="R210" s="107">
        <f t="shared" ca="1" si="97"/>
        <v>-16.650238399660552</v>
      </c>
      <c r="S210" s="108">
        <f t="shared" ca="1" si="98"/>
        <v>-80.349368184710741</v>
      </c>
      <c r="T210" s="116">
        <f t="shared" ca="1" si="99"/>
        <v>99.650631815289259</v>
      </c>
      <c r="V210" s="72">
        <f t="shared" ca="1" si="100"/>
        <v>11954.5</v>
      </c>
      <c r="W210" s="72">
        <f t="shared" si="101"/>
        <v>142910070.25</v>
      </c>
      <c r="Y210" s="110">
        <f t="shared" si="102"/>
        <v>8.5434460673357631</v>
      </c>
      <c r="Z210" s="111">
        <f t="shared" si="103"/>
        <v>-41.957747890550927</v>
      </c>
      <c r="AA210" s="72">
        <f t="shared" si="104"/>
        <v>138.04225210944907</v>
      </c>
      <c r="AB210" s="110">
        <f t="shared" ca="1" si="105"/>
        <v>-9.2760841201148114</v>
      </c>
      <c r="AC210" s="111">
        <f t="shared" ca="1" si="106"/>
        <v>-38.391620294159829</v>
      </c>
      <c r="AD210" s="72">
        <f t="shared" ca="1" si="107"/>
        <v>141.60837970584018</v>
      </c>
    </row>
    <row r="211" spans="1:30">
      <c r="A211" s="118">
        <v>12023</v>
      </c>
      <c r="B211" s="101">
        <f t="shared" ca="1" si="81"/>
        <v>616.54934573944365</v>
      </c>
      <c r="C211" s="102">
        <f t="shared" ca="1" si="82"/>
        <v>1.569174395889684</v>
      </c>
      <c r="D211" s="102">
        <f t="shared" si="83"/>
        <v>16.0085526790476</v>
      </c>
      <c r="E211" s="103">
        <f t="shared" si="84"/>
        <v>1.5082890214255491</v>
      </c>
      <c r="F211" s="101">
        <f t="shared" si="85"/>
        <v>906.51339390679846</v>
      </c>
      <c r="G211" s="104">
        <f t="shared" si="86"/>
        <v>1.5696931989100393</v>
      </c>
      <c r="H211" s="113">
        <f t="shared" si="87"/>
        <v>1.5112936993952928</v>
      </c>
      <c r="I211" s="114">
        <f t="shared" si="88"/>
        <v>0.84773279592583162</v>
      </c>
      <c r="J211" s="101">
        <f t="shared" si="89"/>
        <v>1.0000285331183936</v>
      </c>
      <c r="K211" s="104">
        <f t="shared" si="90"/>
        <v>7.5541299910697355E-3</v>
      </c>
      <c r="L211" s="102">
        <f t="shared" si="91"/>
        <v>1</v>
      </c>
      <c r="M211" s="103">
        <f t="shared" si="92"/>
        <v>3.9659936852497504E-10</v>
      </c>
      <c r="N211" s="101">
        <f t="shared" si="93"/>
        <v>1</v>
      </c>
      <c r="O211" s="104">
        <f t="shared" si="94"/>
        <v>6.3455898963996005E-11</v>
      </c>
      <c r="P211" s="105">
        <f t="shared" ca="1" si="95"/>
        <v>1.2037378243503163</v>
      </c>
      <c r="Q211" s="106">
        <f t="shared" ca="1" si="96"/>
        <v>0.61158839714356195</v>
      </c>
      <c r="R211" s="107">
        <f t="shared" ca="1" si="97"/>
        <v>-16.687558856865301</v>
      </c>
      <c r="S211" s="108">
        <f t="shared" ca="1" si="98"/>
        <v>-80.328012852006637</v>
      </c>
      <c r="T211" s="116">
        <f t="shared" ca="1" si="99"/>
        <v>99.671987147993363</v>
      </c>
      <c r="V211" s="72">
        <f t="shared" ca="1" si="100"/>
        <v>12023</v>
      </c>
      <c r="W211" s="72">
        <f t="shared" si="101"/>
        <v>144552529</v>
      </c>
      <c r="Y211" s="110">
        <f t="shared" si="102"/>
        <v>8.5216447513454749</v>
      </c>
      <c r="Z211" s="111">
        <f t="shared" si="103"/>
        <v>-41.798103861614301</v>
      </c>
      <c r="AA211" s="72">
        <f t="shared" si="104"/>
        <v>138.20189613838571</v>
      </c>
      <c r="AB211" s="110">
        <f t="shared" ca="1" si="105"/>
        <v>-9.2916032613292749</v>
      </c>
      <c r="AC211" s="111">
        <f t="shared" ca="1" si="106"/>
        <v>-38.529908990392308</v>
      </c>
      <c r="AD211" s="72">
        <f t="shared" ca="1" si="107"/>
        <v>141.4700910096077</v>
      </c>
    </row>
    <row r="212" spans="1:30">
      <c r="A212" s="118">
        <v>12093</v>
      </c>
      <c r="B212" s="101">
        <f t="shared" ca="1" si="81"/>
        <v>620.13899399655452</v>
      </c>
      <c r="C212" s="102">
        <f t="shared" ca="1" si="82"/>
        <v>1.569183784376079</v>
      </c>
      <c r="D212" s="102">
        <f t="shared" si="83"/>
        <v>16.10139461794202</v>
      </c>
      <c r="E212" s="103">
        <f t="shared" si="84"/>
        <v>1.5086499096616732</v>
      </c>
      <c r="F212" s="101">
        <f t="shared" si="85"/>
        <v>911.79126636608726</v>
      </c>
      <c r="G212" s="104">
        <f t="shared" si="86"/>
        <v>1.569699584330517</v>
      </c>
      <c r="H212" s="113">
        <f t="shared" si="87"/>
        <v>1.5162465547268531</v>
      </c>
      <c r="I212" s="114">
        <f t="shared" si="88"/>
        <v>0.85061185826168528</v>
      </c>
      <c r="J212" s="101">
        <f t="shared" si="89"/>
        <v>1.0000288663303611</v>
      </c>
      <c r="K212" s="104">
        <f t="shared" si="90"/>
        <v>7.5981097637329836E-3</v>
      </c>
      <c r="L212" s="102">
        <f t="shared" si="91"/>
        <v>1</v>
      </c>
      <c r="M212" s="103">
        <f t="shared" si="92"/>
        <v>3.9890843912272502E-10</v>
      </c>
      <c r="N212" s="101">
        <f t="shared" si="93"/>
        <v>1</v>
      </c>
      <c r="O212" s="104">
        <f t="shared" si="94"/>
        <v>6.3825350259635998E-11</v>
      </c>
      <c r="P212" s="105">
        <f t="shared" ca="1" si="95"/>
        <v>1.2059148281977821</v>
      </c>
      <c r="Q212" s="106">
        <f t="shared" ca="1" si="96"/>
        <v>0.61440080006168085</v>
      </c>
      <c r="R212" s="107">
        <f t="shared" ca="1" si="97"/>
        <v>-16.725456754167933</v>
      </c>
      <c r="S212" s="108">
        <f t="shared" ca="1" si="98"/>
        <v>-80.306939809412327</v>
      </c>
      <c r="T212" s="116">
        <f t="shared" ca="1" si="99"/>
        <v>99.693060190587673</v>
      </c>
      <c r="V212" s="72">
        <f t="shared" ca="1" si="100"/>
        <v>12093</v>
      </c>
      <c r="W212" s="72">
        <f t="shared" si="101"/>
        <v>146240649</v>
      </c>
      <c r="Y212" s="110">
        <f t="shared" si="102"/>
        <v>8.4996369085530681</v>
      </c>
      <c r="Z212" s="111">
        <f t="shared" si="103"/>
        <v>-41.63603145351982</v>
      </c>
      <c r="AA212" s="72">
        <f t="shared" si="104"/>
        <v>138.36396854648018</v>
      </c>
      <c r="AB212" s="110">
        <f t="shared" ca="1" si="105"/>
        <v>-9.3074933158394977</v>
      </c>
      <c r="AC212" s="111">
        <f t="shared" ca="1" si="106"/>
        <v>-38.670908355892529</v>
      </c>
      <c r="AD212" s="72">
        <f t="shared" ca="1" si="107"/>
        <v>141.32909164410748</v>
      </c>
    </row>
    <row r="213" spans="1:30">
      <c r="A213" s="118">
        <v>12163</v>
      </c>
      <c r="B213" s="101">
        <f t="shared" ca="1" si="81"/>
        <v>623.72864230769756</v>
      </c>
      <c r="C213" s="102">
        <f t="shared" ca="1" si="82"/>
        <v>1.5691930647982879</v>
      </c>
      <c r="D213" s="102">
        <f t="shared" si="83"/>
        <v>16.194238629842175</v>
      </c>
      <c r="E213" s="103">
        <f t="shared" si="84"/>
        <v>1.5090066598904697</v>
      </c>
      <c r="F213" s="101">
        <f t="shared" si="85"/>
        <v>917.06913886212521</v>
      </c>
      <c r="G213" s="104">
        <f t="shared" si="86"/>
        <v>1.5697058962528614</v>
      </c>
      <c r="H213" s="113">
        <f t="shared" si="87"/>
        <v>1.5212118963250361</v>
      </c>
      <c r="I213" s="114">
        <f t="shared" si="88"/>
        <v>0.85347214925778203</v>
      </c>
      <c r="J213" s="101">
        <f t="shared" si="89"/>
        <v>1.0000292014766041</v>
      </c>
      <c r="K213" s="104">
        <f t="shared" si="90"/>
        <v>7.6420895070028463E-3</v>
      </c>
      <c r="L213" s="102">
        <f t="shared" si="91"/>
        <v>1</v>
      </c>
      <c r="M213" s="103">
        <f t="shared" si="92"/>
        <v>4.0121750972047505E-10</v>
      </c>
      <c r="N213" s="101">
        <f t="shared" si="93"/>
        <v>1</v>
      </c>
      <c r="O213" s="104">
        <f t="shared" si="94"/>
        <v>6.4194801555276005E-11</v>
      </c>
      <c r="P213" s="105">
        <f t="shared" ca="1" si="95"/>
        <v>1.2081005367510906</v>
      </c>
      <c r="Q213" s="106">
        <f t="shared" ca="1" si="96"/>
        <v>0.61720351438596266</v>
      </c>
      <c r="R213" s="107">
        <f t="shared" ca="1" si="97"/>
        <v>-16.763115937030399</v>
      </c>
      <c r="S213" s="108">
        <f t="shared" ca="1" si="98"/>
        <v>-80.286613855743255</v>
      </c>
      <c r="T213" s="116">
        <f t="shared" ca="1" si="99"/>
        <v>99.713386144256745</v>
      </c>
      <c r="V213" s="72">
        <f t="shared" ca="1" si="100"/>
        <v>12163</v>
      </c>
      <c r="W213" s="72">
        <f t="shared" si="101"/>
        <v>147938569</v>
      </c>
      <c r="Y213" s="110">
        <f t="shared" si="102"/>
        <v>8.4778987003258592</v>
      </c>
      <c r="Z213" s="111">
        <f t="shared" si="103"/>
        <v>-41.475030351153485</v>
      </c>
      <c r="AA213" s="72">
        <f t="shared" si="104"/>
        <v>138.52496964884651</v>
      </c>
      <c r="AB213" s="110">
        <f t="shared" ca="1" si="105"/>
        <v>-9.3234142904747532</v>
      </c>
      <c r="AC213" s="111">
        <f t="shared" ca="1" si="106"/>
        <v>-38.811583504589798</v>
      </c>
      <c r="AD213" s="72">
        <f t="shared" ca="1" si="107"/>
        <v>141.18841649541019</v>
      </c>
    </row>
    <row r="214" spans="1:30">
      <c r="A214" s="118">
        <v>12233</v>
      </c>
      <c r="B214" s="101">
        <f t="shared" ca="1" si="81"/>
        <v>627.31829067194519</v>
      </c>
      <c r="C214" s="102">
        <f t="shared" ca="1" si="82"/>
        <v>1.5692022390114075</v>
      </c>
      <c r="D214" s="102">
        <f t="shared" si="83"/>
        <v>16.287084679296758</v>
      </c>
      <c r="E214" s="103">
        <f t="shared" si="84"/>
        <v>1.5093593427876388</v>
      </c>
      <c r="F214" s="101">
        <f t="shared" si="85"/>
        <v>922.34701139428125</v>
      </c>
      <c r="G214" s="104">
        <f t="shared" si="86"/>
        <v>1.5697121359387893</v>
      </c>
      <c r="H214" s="113">
        <f t="shared" si="87"/>
        <v>1.5261896023204951</v>
      </c>
      <c r="I214" s="114">
        <f t="shared" si="88"/>
        <v>0.85631380555327219</v>
      </c>
      <c r="J214" s="101">
        <f t="shared" si="89"/>
        <v>1.0000295385571196</v>
      </c>
      <c r="K214" s="104">
        <f t="shared" si="90"/>
        <v>7.6860692207092228E-3</v>
      </c>
      <c r="L214" s="102">
        <f t="shared" si="91"/>
        <v>1</v>
      </c>
      <c r="M214" s="103">
        <f t="shared" si="92"/>
        <v>4.0352658031822503E-10</v>
      </c>
      <c r="N214" s="101">
        <f t="shared" si="93"/>
        <v>1</v>
      </c>
      <c r="O214" s="104">
        <f t="shared" si="94"/>
        <v>6.4564252850915998E-11</v>
      </c>
      <c r="P214" s="105">
        <f t="shared" ca="1" si="95"/>
        <v>1.2102949032624115</v>
      </c>
      <c r="Q214" s="106">
        <f t="shared" ca="1" si="96"/>
        <v>0.61999655425231137</v>
      </c>
      <c r="R214" s="107">
        <f t="shared" ca="1" si="97"/>
        <v>-16.800540036437827</v>
      </c>
      <c r="S214" s="108">
        <f t="shared" ca="1" si="98"/>
        <v>-80.267024101231542</v>
      </c>
      <c r="T214" s="116">
        <f t="shared" ca="1" si="99"/>
        <v>99.732975898768458</v>
      </c>
      <c r="V214" s="72">
        <f t="shared" ca="1" si="100"/>
        <v>12233</v>
      </c>
      <c r="W214" s="72">
        <f t="shared" si="101"/>
        <v>149646289</v>
      </c>
      <c r="Y214" s="110">
        <f t="shared" si="102"/>
        <v>8.4564259994158011</v>
      </c>
      <c r="Z214" s="111">
        <f t="shared" si="103"/>
        <v>-41.315092797949966</v>
      </c>
      <c r="AA214" s="72">
        <f t="shared" si="104"/>
        <v>138.68490720205003</v>
      </c>
      <c r="AB214" s="110">
        <f t="shared" ca="1" si="105"/>
        <v>-9.339365688972121</v>
      </c>
      <c r="AC214" s="111">
        <f t="shared" ca="1" si="106"/>
        <v>-38.951931303281604</v>
      </c>
      <c r="AD214" s="72">
        <f t="shared" ca="1" si="107"/>
        <v>141.04806869671839</v>
      </c>
    </row>
    <row r="215" spans="1:30">
      <c r="A215" s="118">
        <v>12303</v>
      </c>
      <c r="B215" s="101">
        <f t="shared" ca="1" si="81"/>
        <v>630.907939088391</v>
      </c>
      <c r="C215" s="102">
        <f t="shared" ca="1" si="82"/>
        <v>1.5692113088283155</v>
      </c>
      <c r="D215" s="102">
        <f t="shared" si="83"/>
        <v>16.379932731657469</v>
      </c>
      <c r="E215" s="103">
        <f t="shared" si="84"/>
        <v>1.5097080274305075</v>
      </c>
      <c r="F215" s="101">
        <f t="shared" si="85"/>
        <v>927.62488396193919</v>
      </c>
      <c r="G215" s="104">
        <f t="shared" si="86"/>
        <v>1.5697183046213026</v>
      </c>
      <c r="H215" s="113">
        <f t="shared" si="87"/>
        <v>1.5311795521271141</v>
      </c>
      <c r="I215" s="114">
        <f t="shared" si="88"/>
        <v>0.85913696321656741</v>
      </c>
      <c r="J215" s="101">
        <f t="shared" si="89"/>
        <v>1.0000298775719065</v>
      </c>
      <c r="K215" s="104">
        <f t="shared" si="90"/>
        <v>7.7300489046820105E-3</v>
      </c>
      <c r="L215" s="102">
        <f t="shared" si="91"/>
        <v>1</v>
      </c>
      <c r="M215" s="103">
        <f t="shared" si="92"/>
        <v>4.0583565091597507E-10</v>
      </c>
      <c r="N215" s="101">
        <f t="shared" si="93"/>
        <v>1</v>
      </c>
      <c r="O215" s="104">
        <f t="shared" si="94"/>
        <v>6.4933704146556004E-11</v>
      </c>
      <c r="P215" s="105">
        <f t="shared" ca="1" si="95"/>
        <v>1.212497881138568</v>
      </c>
      <c r="Q215" s="106">
        <f t="shared" ca="1" si="96"/>
        <v>0.62277993424525957</v>
      </c>
      <c r="R215" s="107">
        <f t="shared" ca="1" si="97"/>
        <v>-16.837732610378499</v>
      </c>
      <c r="S215" s="108">
        <f t="shared" ca="1" si="98"/>
        <v>-80.248159802030642</v>
      </c>
      <c r="T215" s="116">
        <f t="shared" ca="1" si="99"/>
        <v>99.751840197969358</v>
      </c>
      <c r="V215" s="72">
        <f t="shared" ca="1" si="100"/>
        <v>12303</v>
      </c>
      <c r="W215" s="72">
        <f t="shared" si="101"/>
        <v>151363809</v>
      </c>
      <c r="Y215" s="110">
        <f t="shared" si="102"/>
        <v>8.4352147535118469</v>
      </c>
      <c r="Z215" s="111">
        <f t="shared" si="103"/>
        <v>-41.156211068399564</v>
      </c>
      <c r="AA215" s="72">
        <f t="shared" si="104"/>
        <v>138.84378893160044</v>
      </c>
      <c r="AB215" s="110">
        <f t="shared" ca="1" si="105"/>
        <v>-9.3553470170088406</v>
      </c>
      <c r="AC215" s="111">
        <f t="shared" ca="1" si="106"/>
        <v>-39.091948733631078</v>
      </c>
      <c r="AD215" s="72">
        <f t="shared" ca="1" si="107"/>
        <v>140.90805126636891</v>
      </c>
    </row>
    <row r="216" spans="1:30">
      <c r="A216" s="118">
        <v>12374.5</v>
      </c>
      <c r="B216" s="101">
        <f t="shared" ca="1" si="81"/>
        <v>634.57450859529899</v>
      </c>
      <c r="C216" s="102">
        <f t="shared" ca="1" si="82"/>
        <v>1.5692204670647245</v>
      </c>
      <c r="D216" s="102">
        <f t="shared" si="83"/>
        <v>16.474772417675574</v>
      </c>
      <c r="E216" s="103">
        <f t="shared" si="84"/>
        <v>1.5100601263987783</v>
      </c>
      <c r="F216" s="101">
        <f t="shared" si="85"/>
        <v>933.01585383492852</v>
      </c>
      <c r="G216" s="104">
        <f t="shared" si="86"/>
        <v>1.5697245334407466</v>
      </c>
      <c r="H216" s="113">
        <f t="shared" si="87"/>
        <v>1.5362889455535986</v>
      </c>
      <c r="I216" s="114">
        <f t="shared" si="88"/>
        <v>0.86200166050107996</v>
      </c>
      <c r="J216" s="101">
        <f t="shared" si="89"/>
        <v>1.0000302258481819</v>
      </c>
      <c r="K216" s="104">
        <f t="shared" si="90"/>
        <v>7.774970979581213E-3</v>
      </c>
      <c r="L216" s="102">
        <f t="shared" si="91"/>
        <v>1</v>
      </c>
      <c r="M216" s="103">
        <f t="shared" si="92"/>
        <v>4.0819420159796256E-10</v>
      </c>
      <c r="N216" s="101">
        <f t="shared" si="93"/>
        <v>1</v>
      </c>
      <c r="O216" s="104">
        <f t="shared" si="94"/>
        <v>6.5311072255674009E-11</v>
      </c>
      <c r="P216" s="105">
        <f t="shared" ca="1" si="95"/>
        <v>1.2147569075378806</v>
      </c>
      <c r="Q216" s="106">
        <f t="shared" ca="1" si="96"/>
        <v>0.62561300113254248</v>
      </c>
      <c r="R216" s="107">
        <f t="shared" ca="1" si="97"/>
        <v>-16.875486772386552</v>
      </c>
      <c r="S216" s="108">
        <f t="shared" ca="1" si="98"/>
        <v>-80.229629187435705</v>
      </c>
      <c r="T216" s="116">
        <f t="shared" ca="1" si="99"/>
        <v>99.770370812564295</v>
      </c>
      <c r="V216" s="72">
        <f t="shared" ca="1" si="100"/>
        <v>12374.5</v>
      </c>
      <c r="W216" s="72">
        <f t="shared" si="101"/>
        <v>153128250.25</v>
      </c>
      <c r="Y216" s="110">
        <f t="shared" si="102"/>
        <v>8.4138147631477604</v>
      </c>
      <c r="Z216" s="111">
        <f t="shared" si="103"/>
        <v>-40.995006734480874</v>
      </c>
      <c r="AA216" s="72">
        <f t="shared" si="104"/>
        <v>139.00499326551912</v>
      </c>
      <c r="AB216" s="110">
        <f t="shared" ca="1" si="105"/>
        <v>-9.3717011886528034</v>
      </c>
      <c r="AC216" s="111">
        <f t="shared" ca="1" si="106"/>
        <v>-39.234622452954845</v>
      </c>
      <c r="AD216" s="72">
        <f t="shared" ca="1" si="107"/>
        <v>140.76537754704515</v>
      </c>
    </row>
    <row r="217" spans="1:30">
      <c r="A217" s="118">
        <v>12446</v>
      </c>
      <c r="B217" s="101">
        <f t="shared" ca="1" si="81"/>
        <v>638.24107815481943</v>
      </c>
      <c r="C217" s="102">
        <f t="shared" ca="1" si="82"/>
        <v>1.5692295200765978</v>
      </c>
      <c r="D217" s="102">
        <f t="shared" si="83"/>
        <v>16.569614122751098</v>
      </c>
      <c r="E217" s="103">
        <f t="shared" si="84"/>
        <v>1.510408194698361</v>
      </c>
      <c r="F217" s="101">
        <f t="shared" si="85"/>
        <v>938.40682374370135</v>
      </c>
      <c r="G217" s="104">
        <f t="shared" si="86"/>
        <v>1.5697306906934092</v>
      </c>
      <c r="H217" s="113">
        <f t="shared" si="87"/>
        <v>1.5414108628789271</v>
      </c>
      <c r="I217" s="114">
        <f t="shared" si="88"/>
        <v>0.86484734294132648</v>
      </c>
      <c r="J217" s="101">
        <f t="shared" si="89"/>
        <v>1.0000305761425097</v>
      </c>
      <c r="K217" s="104">
        <f t="shared" si="90"/>
        <v>7.8198930231001343E-3</v>
      </c>
      <c r="L217" s="102">
        <f t="shared" si="91"/>
        <v>1</v>
      </c>
      <c r="M217" s="103">
        <f t="shared" si="92"/>
        <v>4.1055275227995006E-10</v>
      </c>
      <c r="N217" s="101">
        <f t="shared" si="93"/>
        <v>1</v>
      </c>
      <c r="O217" s="104">
        <f t="shared" si="94"/>
        <v>6.5688440364792E-11</v>
      </c>
      <c r="P217" s="105">
        <f t="shared" ca="1" si="95"/>
        <v>1.2170248205516607</v>
      </c>
      <c r="Q217" s="106">
        <f t="shared" ca="1" si="96"/>
        <v>0.62843602187055581</v>
      </c>
      <c r="R217" s="107">
        <f t="shared" ca="1" si="97"/>
        <v>-16.913006658105793</v>
      </c>
      <c r="S217" s="108">
        <f t="shared" ca="1" si="98"/>
        <v>-80.21183325032284</v>
      </c>
      <c r="T217" s="116">
        <f t="shared" ca="1" si="99"/>
        <v>99.78816674967716</v>
      </c>
      <c r="V217" s="72">
        <f t="shared" ca="1" si="100"/>
        <v>12446</v>
      </c>
      <c r="W217" s="72">
        <f t="shared" si="101"/>
        <v>154902916</v>
      </c>
      <c r="Y217" s="110">
        <f t="shared" si="102"/>
        <v>8.3926792390730558</v>
      </c>
      <c r="Z217" s="111">
        <f t="shared" si="103"/>
        <v>-40.834887768615488</v>
      </c>
      <c r="AA217" s="72">
        <f t="shared" si="104"/>
        <v>139.16511223138451</v>
      </c>
      <c r="AB217" s="110">
        <f t="shared" ca="1" si="105"/>
        <v>-9.3880855502973457</v>
      </c>
      <c r="AC217" s="111">
        <f t="shared" ca="1" si="106"/>
        <v>-39.376945481707395</v>
      </c>
      <c r="AD217" s="72">
        <f t="shared" ca="1" si="107"/>
        <v>140.62305451829261</v>
      </c>
    </row>
    <row r="218" spans="1:30">
      <c r="A218" s="118">
        <v>12517.5</v>
      </c>
      <c r="B218" s="101">
        <f t="shared" ca="1" si="81"/>
        <v>641.90764776605056</v>
      </c>
      <c r="C218" s="102">
        <f t="shared" ca="1" si="82"/>
        <v>1.5692384696670578</v>
      </c>
      <c r="D218" s="102">
        <f t="shared" si="83"/>
        <v>16.664457812411115</v>
      </c>
      <c r="E218" s="103">
        <f t="shared" si="84"/>
        <v>1.5107523010643382</v>
      </c>
      <c r="F218" s="101">
        <f t="shared" si="85"/>
        <v>943.79779368764434</v>
      </c>
      <c r="G218" s="104">
        <f t="shared" si="86"/>
        <v>1.5697367776056574</v>
      </c>
      <c r="H218" s="113">
        <f t="shared" si="87"/>
        <v>1.5465451796714837</v>
      </c>
      <c r="I218" s="114">
        <f t="shared" si="88"/>
        <v>0.86767415359967093</v>
      </c>
      <c r="J218" s="101">
        <f t="shared" si="89"/>
        <v>1.0000309284548878</v>
      </c>
      <c r="K218" s="104">
        <f t="shared" si="90"/>
        <v>7.8648150350575027E-3</v>
      </c>
      <c r="L218" s="102">
        <f t="shared" si="91"/>
        <v>1</v>
      </c>
      <c r="M218" s="103">
        <f t="shared" si="92"/>
        <v>4.1291130296193755E-10</v>
      </c>
      <c r="N218" s="101">
        <f t="shared" si="93"/>
        <v>1</v>
      </c>
      <c r="O218" s="104">
        <f t="shared" si="94"/>
        <v>6.6065808473910004E-11</v>
      </c>
      <c r="P218" s="105">
        <f t="shared" ca="1" si="95"/>
        <v>1.2193015710387825</v>
      </c>
      <c r="Q218" s="106">
        <f t="shared" ca="1" si="96"/>
        <v>0.63124901339766559</v>
      </c>
      <c r="R218" s="107">
        <f t="shared" ca="1" si="97"/>
        <v>-16.950295834008518</v>
      </c>
      <c r="S218" s="108">
        <f t="shared" ca="1" si="98"/>
        <v>-80.194760999655699</v>
      </c>
      <c r="T218" s="116">
        <f t="shared" ca="1" si="99"/>
        <v>99.805239000344301</v>
      </c>
      <c r="V218" s="72">
        <f t="shared" ca="1" si="100"/>
        <v>12517.5</v>
      </c>
      <c r="W218" s="72">
        <f t="shared" si="101"/>
        <v>156687806.25</v>
      </c>
      <c r="Y218" s="110">
        <f t="shared" si="102"/>
        <v>8.3718040948299901</v>
      </c>
      <c r="Z218" s="111">
        <f t="shared" si="103"/>
        <v>-40.675846044189001</v>
      </c>
      <c r="AA218" s="72">
        <f t="shared" si="104"/>
        <v>139.324153955811</v>
      </c>
      <c r="AB218" s="110">
        <f t="shared" ca="1" si="105"/>
        <v>-9.4044995819570048</v>
      </c>
      <c r="AC218" s="111">
        <f t="shared" ca="1" si="106"/>
        <v>-39.518914955466705</v>
      </c>
      <c r="AD218" s="72">
        <f t="shared" ca="1" si="107"/>
        <v>140.4810850445333</v>
      </c>
    </row>
    <row r="219" spans="1:30">
      <c r="A219" s="118">
        <v>12589</v>
      </c>
      <c r="B219" s="101">
        <f t="shared" ca="1" si="81"/>
        <v>645.5742174281113</v>
      </c>
      <c r="C219" s="102">
        <f t="shared" ca="1" si="82"/>
        <v>1.569247317598264</v>
      </c>
      <c r="D219" s="102">
        <f t="shared" si="83"/>
        <v>16.759303452962357</v>
      </c>
      <c r="E219" s="103">
        <f t="shared" si="84"/>
        <v>1.51109251267963</v>
      </c>
      <c r="F219" s="101">
        <f t="shared" si="85"/>
        <v>949.18876366615837</v>
      </c>
      <c r="G219" s="104">
        <f t="shared" si="86"/>
        <v>1.5697427953759977</v>
      </c>
      <c r="H219" s="113">
        <f t="shared" si="87"/>
        <v>1.5516917728473061</v>
      </c>
      <c r="I219" s="114">
        <f t="shared" si="88"/>
        <v>0.87048223485374332</v>
      </c>
      <c r="J219" s="101">
        <f t="shared" si="89"/>
        <v>1.0000312827853142</v>
      </c>
      <c r="K219" s="104">
        <f t="shared" si="90"/>
        <v>7.9097370152720493E-3</v>
      </c>
      <c r="L219" s="102">
        <f t="shared" si="91"/>
        <v>1</v>
      </c>
      <c r="M219" s="103">
        <f t="shared" si="92"/>
        <v>4.1526985364392505E-10</v>
      </c>
      <c r="N219" s="101">
        <f t="shared" si="93"/>
        <v>1</v>
      </c>
      <c r="O219" s="104">
        <f t="shared" si="94"/>
        <v>6.6443176583028009E-11</v>
      </c>
      <c r="P219" s="105">
        <f t="shared" ca="1" si="95"/>
        <v>1.2215871100345215</v>
      </c>
      <c r="Q219" s="106">
        <f t="shared" ca="1" si="96"/>
        <v>0.63405199310460458</v>
      </c>
      <c r="R219" s="107">
        <f t="shared" ca="1" si="97"/>
        <v>-16.987357794170251</v>
      </c>
      <c r="S219" s="108">
        <f t="shared" ca="1" si="98"/>
        <v>-80.178401594538002</v>
      </c>
      <c r="T219" s="116">
        <f t="shared" ca="1" si="99"/>
        <v>99.821598405461998</v>
      </c>
      <c r="V219" s="72">
        <f t="shared" ca="1" si="100"/>
        <v>12589</v>
      </c>
      <c r="W219" s="72">
        <f t="shared" si="101"/>
        <v>158482921</v>
      </c>
      <c r="Y219" s="110">
        <f t="shared" si="102"/>
        <v>8.3511853188144798</v>
      </c>
      <c r="Z219" s="111">
        <f t="shared" si="103"/>
        <v>-40.517873472223059</v>
      </c>
      <c r="AA219" s="72">
        <f t="shared" si="104"/>
        <v>139.48212652777693</v>
      </c>
      <c r="AB219" s="110">
        <f t="shared" ca="1" si="105"/>
        <v>-9.4209427661032272</v>
      </c>
      <c r="AC219" s="111">
        <f t="shared" ca="1" si="106"/>
        <v>-39.66052812231495</v>
      </c>
      <c r="AD219" s="72">
        <f t="shared" ca="1" si="107"/>
        <v>140.33947187768504</v>
      </c>
    </row>
    <row r="220" spans="1:30">
      <c r="A220" s="118">
        <v>12662.25</v>
      </c>
      <c r="B220" s="101">
        <f t="shared" ca="1" si="81"/>
        <v>649.33052835748799</v>
      </c>
      <c r="C220" s="102">
        <f t="shared" ca="1" si="82"/>
        <v>1.5692562784657027</v>
      </c>
      <c r="D220" s="102">
        <f t="shared" si="83"/>
        <v>16.856472478981004</v>
      </c>
      <c r="E220" s="103">
        <f t="shared" si="84"/>
        <v>1.5114370808975406</v>
      </c>
      <c r="F220" s="101">
        <f t="shared" si="85"/>
        <v>954.71168049756659</v>
      </c>
      <c r="G220" s="104">
        <f t="shared" si="86"/>
        <v>1.5697488899579106</v>
      </c>
      <c r="H220" s="113">
        <f t="shared" si="87"/>
        <v>1.5569769350804901</v>
      </c>
      <c r="I220" s="114">
        <f t="shared" si="88"/>
        <v>0.87333977085389447</v>
      </c>
      <c r="J220" s="101">
        <f t="shared" si="89"/>
        <v>1.000031647880903</v>
      </c>
      <c r="K220" s="104">
        <f t="shared" si="90"/>
        <v>7.9557584514055955E-3</v>
      </c>
      <c r="L220" s="102">
        <f t="shared" si="91"/>
        <v>1</v>
      </c>
      <c r="M220" s="103">
        <f t="shared" si="92"/>
        <v>4.1768613109085628E-10</v>
      </c>
      <c r="N220" s="101">
        <f t="shared" si="93"/>
        <v>1</v>
      </c>
      <c r="O220" s="104">
        <f t="shared" si="94"/>
        <v>6.6829780974537002E-11</v>
      </c>
      <c r="P220" s="105">
        <f t="shared" ca="1" si="95"/>
        <v>1.2239376515881621</v>
      </c>
      <c r="Q220" s="106">
        <f t="shared" ca="1" si="96"/>
        <v>0.63691321347212415</v>
      </c>
      <c r="R220" s="107">
        <f t="shared" ca="1" si="97"/>
        <v>-17.025094818185664</v>
      </c>
      <c r="S220" s="108">
        <f t="shared" ca="1" si="98"/>
        <v>-80.162369836227242</v>
      </c>
      <c r="T220" s="116">
        <f t="shared" ca="1" si="99"/>
        <v>99.837630163772758</v>
      </c>
      <c r="V220" s="72">
        <f t="shared" ca="1" si="100"/>
        <v>12662.25</v>
      </c>
      <c r="W220" s="72">
        <f t="shared" si="101"/>
        <v>160332575.0625</v>
      </c>
      <c r="Y220" s="110">
        <f t="shared" si="102"/>
        <v>8.3303236276069033</v>
      </c>
      <c r="Z220" s="111">
        <f t="shared" si="103"/>
        <v>-40.357134747186841</v>
      </c>
      <c r="AA220" s="72">
        <f t="shared" si="104"/>
        <v>139.64286525281315</v>
      </c>
      <c r="AB220" s="110">
        <f t="shared" ca="1" si="105"/>
        <v>-9.4378180989110625</v>
      </c>
      <c r="AC220" s="111">
        <f t="shared" ca="1" si="106"/>
        <v>-39.805235089040437</v>
      </c>
      <c r="AD220" s="72">
        <f t="shared" ca="1" si="107"/>
        <v>140.19476491095958</v>
      </c>
    </row>
    <row r="221" spans="1:30">
      <c r="A221" s="118">
        <v>12735.5</v>
      </c>
      <c r="B221" s="101">
        <f t="shared" ca="1" si="81"/>
        <v>653.08683933840427</v>
      </c>
      <c r="C221" s="102">
        <f t="shared" ca="1" si="82"/>
        <v>1.5692651362540329</v>
      </c>
      <c r="D221" s="102">
        <f t="shared" si="83"/>
        <v>16.953643483381267</v>
      </c>
      <c r="E221" s="103">
        <f t="shared" si="84"/>
        <v>1.5117776993213776</v>
      </c>
      <c r="F221" s="101">
        <f t="shared" si="85"/>
        <v>960.23459736402856</v>
      </c>
      <c r="G221" s="104">
        <f t="shared" si="86"/>
        <v>1.5697549144322285</v>
      </c>
      <c r="H221" s="113">
        <f t="shared" si="87"/>
        <v>1.5622747247477684</v>
      </c>
      <c r="I221" s="114">
        <f t="shared" si="88"/>
        <v>0.87617794966478724</v>
      </c>
      <c r="J221" s="101">
        <f t="shared" si="89"/>
        <v>1.0000320150945299</v>
      </c>
      <c r="K221" s="104">
        <f t="shared" si="90"/>
        <v>8.0017798538383009E-3</v>
      </c>
      <c r="L221" s="102">
        <f t="shared" si="91"/>
        <v>1</v>
      </c>
      <c r="M221" s="103">
        <f t="shared" si="92"/>
        <v>4.2010240853778752E-10</v>
      </c>
      <c r="N221" s="101">
        <f t="shared" si="93"/>
        <v>1</v>
      </c>
      <c r="O221" s="104">
        <f t="shared" si="94"/>
        <v>6.7216385366046009E-11</v>
      </c>
      <c r="P221" s="105">
        <f t="shared" ca="1" si="95"/>
        <v>1.2262973136578827</v>
      </c>
      <c r="Q221" s="106">
        <f t="shared" ca="1" si="96"/>
        <v>0.63976396430142912</v>
      </c>
      <c r="R221" s="107">
        <f t="shared" ca="1" si="97"/>
        <v>-17.062600566300844</v>
      </c>
      <c r="S221" s="108">
        <f t="shared" ca="1" si="98"/>
        <v>-80.147063684544179</v>
      </c>
      <c r="T221" s="116">
        <f t="shared" ca="1" si="99"/>
        <v>99.852936315455821</v>
      </c>
      <c r="V221" s="72">
        <f t="shared" ca="1" si="100"/>
        <v>12735.5</v>
      </c>
      <c r="W221" s="72">
        <f t="shared" si="101"/>
        <v>162192960.25</v>
      </c>
      <c r="Y221" s="110">
        <f t="shared" si="102"/>
        <v>8.3097227178900681</v>
      </c>
      <c r="Z221" s="111">
        <f t="shared" si="103"/>
        <v>-40.197501088599388</v>
      </c>
      <c r="AA221" s="72">
        <f t="shared" si="104"/>
        <v>139.80249891140062</v>
      </c>
      <c r="AB221" s="110">
        <f t="shared" ca="1" si="105"/>
        <v>-9.4547229373094073</v>
      </c>
      <c r="AC221" s="111">
        <f t="shared" ca="1" si="106"/>
        <v>-39.949562595944812</v>
      </c>
      <c r="AD221" s="72">
        <f t="shared" ca="1" si="107"/>
        <v>140.05043740405517</v>
      </c>
    </row>
    <row r="222" spans="1:30">
      <c r="A222" s="118">
        <v>12808.75</v>
      </c>
      <c r="B222" s="101">
        <f t="shared" ca="1" si="81"/>
        <v>656.84315036997577</v>
      </c>
      <c r="C222" s="102">
        <f t="shared" ca="1" si="82"/>
        <v>1.5692738927316994</v>
      </c>
      <c r="D222" s="102">
        <f t="shared" si="83"/>
        <v>17.050816432339321</v>
      </c>
      <c r="E222" s="103">
        <f t="shared" si="84"/>
        <v>1.5121144354012896</v>
      </c>
      <c r="F222" s="101">
        <f t="shared" si="85"/>
        <v>965.7575142649431</v>
      </c>
      <c r="G222" s="104">
        <f t="shared" si="86"/>
        <v>1.5697608700017323</v>
      </c>
      <c r="H222" s="113">
        <f t="shared" si="87"/>
        <v>1.5675850138226164</v>
      </c>
      <c r="I222" s="114">
        <f t="shared" si="88"/>
        <v>0.87899692205046676</v>
      </c>
      <c r="J222" s="101">
        <f t="shared" si="89"/>
        <v>1.0000323844261925</v>
      </c>
      <c r="K222" s="104">
        <f t="shared" si="90"/>
        <v>8.0478012223752556E-3</v>
      </c>
      <c r="L222" s="102">
        <f t="shared" si="91"/>
        <v>1</v>
      </c>
      <c r="M222" s="103">
        <f t="shared" si="92"/>
        <v>4.225186859847188E-10</v>
      </c>
      <c r="N222" s="101">
        <f t="shared" si="93"/>
        <v>1</v>
      </c>
      <c r="O222" s="104">
        <f t="shared" si="94"/>
        <v>6.7602989757555002E-11</v>
      </c>
      <c r="P222" s="105">
        <f t="shared" ca="1" si="95"/>
        <v>1.2286660441830883</v>
      </c>
      <c r="Q222" s="106">
        <f t="shared" ca="1" si="96"/>
        <v>0.64260426571025675</v>
      </c>
      <c r="R222" s="107">
        <f t="shared" ca="1" si="97"/>
        <v>-17.099878569911255</v>
      </c>
      <c r="S222" s="108">
        <f t="shared" ca="1" si="98"/>
        <v>-80.132471959625477</v>
      </c>
      <c r="T222" s="116">
        <f t="shared" ca="1" si="99"/>
        <v>99.867528040374523</v>
      </c>
      <c r="V222" s="72">
        <f t="shared" ca="1" si="100"/>
        <v>12808.75</v>
      </c>
      <c r="W222" s="72">
        <f t="shared" si="101"/>
        <v>164064076.5625</v>
      </c>
      <c r="Y222" s="110">
        <f t="shared" si="102"/>
        <v>8.2893785103155331</v>
      </c>
      <c r="Z222" s="111">
        <f t="shared" si="103"/>
        <v>-40.038963927220323</v>
      </c>
      <c r="AA222" s="72">
        <f t="shared" si="104"/>
        <v>139.96103607277968</v>
      </c>
      <c r="AB222" s="110">
        <f t="shared" ca="1" si="105"/>
        <v>-9.4716567333452879</v>
      </c>
      <c r="AC222" s="111">
        <f t="shared" ca="1" si="106"/>
        <v>-40.093508032405133</v>
      </c>
      <c r="AD222" s="72">
        <f t="shared" ca="1" si="107"/>
        <v>139.90649196759486</v>
      </c>
    </row>
    <row r="223" spans="1:30">
      <c r="A223" s="118">
        <v>12882</v>
      </c>
      <c r="B223" s="101">
        <f t="shared" ca="1" si="81"/>
        <v>660.5994614513387</v>
      </c>
      <c r="C223" s="102">
        <f t="shared" ca="1" si="82"/>
        <v>1.5692825496269236</v>
      </c>
      <c r="D223" s="102">
        <f t="shared" si="83"/>
        <v>17.147991292797336</v>
      </c>
      <c r="E223" s="103">
        <f t="shared" si="84"/>
        <v>1.5124473550620774</v>
      </c>
      <c r="F223" s="101">
        <f t="shared" si="85"/>
        <v>971.28043119972222</v>
      </c>
      <c r="G223" s="104">
        <f t="shared" si="86"/>
        <v>1.5697667578418462</v>
      </c>
      <c r="H223" s="113">
        <f t="shared" si="87"/>
        <v>1.5729076757073972</v>
      </c>
      <c r="I223" s="114">
        <f t="shared" si="88"/>
        <v>0.88179683796246344</v>
      </c>
      <c r="J223" s="101">
        <f t="shared" si="89"/>
        <v>1.0000327558758886</v>
      </c>
      <c r="K223" s="104">
        <f t="shared" si="90"/>
        <v>8.0938225568215547E-3</v>
      </c>
      <c r="L223" s="102">
        <f t="shared" si="91"/>
        <v>1</v>
      </c>
      <c r="M223" s="103">
        <f t="shared" si="92"/>
        <v>4.2493496343165004E-10</v>
      </c>
      <c r="N223" s="101">
        <f t="shared" si="93"/>
        <v>1</v>
      </c>
      <c r="O223" s="104">
        <f t="shared" si="94"/>
        <v>6.7989594149064009E-11</v>
      </c>
      <c r="P223" s="105">
        <f t="shared" ca="1" si="95"/>
        <v>1.2310437913055061</v>
      </c>
      <c r="Q223" s="106">
        <f t="shared" ca="1" si="96"/>
        <v>0.64543413827536722</v>
      </c>
      <c r="R223" s="107">
        <f t="shared" ca="1" si="97"/>
        <v>-17.136932287820478</v>
      </c>
      <c r="S223" s="108">
        <f t="shared" ca="1" si="98"/>
        <v>-80.11858363798531</v>
      </c>
      <c r="T223" s="116">
        <f t="shared" ca="1" si="99"/>
        <v>99.88141636201469</v>
      </c>
      <c r="V223" s="72">
        <f t="shared" ca="1" si="100"/>
        <v>12882</v>
      </c>
      <c r="W223" s="72">
        <f t="shared" si="101"/>
        <v>165945924</v>
      </c>
      <c r="Y223" s="110">
        <f t="shared" si="102"/>
        <v>8.2692870011515964</v>
      </c>
      <c r="Z223" s="111">
        <f t="shared" si="103"/>
        <v>-39.881514738795488</v>
      </c>
      <c r="AA223" s="72">
        <f t="shared" si="104"/>
        <v>140.11848526120451</v>
      </c>
      <c r="AB223" s="110">
        <f t="shared" ca="1" si="105"/>
        <v>-9.4886189420905733</v>
      </c>
      <c r="AC223" s="111">
        <f t="shared" ca="1" si="106"/>
        <v>-40.237068899189843</v>
      </c>
      <c r="AD223" s="72">
        <f t="shared" ca="1" si="107"/>
        <v>139.76293110081016</v>
      </c>
    </row>
    <row r="224" spans="1:30">
      <c r="A224" s="118">
        <v>12957.25</v>
      </c>
      <c r="B224" s="101">
        <f t="shared" ca="1" si="81"/>
        <v>664.45833397837634</v>
      </c>
      <c r="C224" s="102">
        <f t="shared" ca="1" si="82"/>
        <v>1.5692913409645439</v>
      </c>
      <c r="D224" s="102">
        <f t="shared" si="83"/>
        <v>17.247821348315473</v>
      </c>
      <c r="E224" s="103">
        <f t="shared" si="84"/>
        <v>1.5127854582398605</v>
      </c>
      <c r="F224" s="101">
        <f t="shared" si="85"/>
        <v>976.95414453598198</v>
      </c>
      <c r="G224" s="104">
        <f t="shared" si="86"/>
        <v>1.5697727371205854</v>
      </c>
      <c r="H224" s="113">
        <f t="shared" si="87"/>
        <v>1.5783884188696791</v>
      </c>
      <c r="I224" s="114">
        <f t="shared" si="88"/>
        <v>0.88465351474035059</v>
      </c>
      <c r="J224" s="101">
        <f t="shared" si="89"/>
        <v>1.0000331396731215</v>
      </c>
      <c r="K224" s="104">
        <f t="shared" si="90"/>
        <v>8.1411004107702061E-3</v>
      </c>
      <c r="L224" s="102">
        <f t="shared" si="91"/>
        <v>1</v>
      </c>
      <c r="M224" s="103">
        <f t="shared" si="92"/>
        <v>4.2741721432423129E-10</v>
      </c>
      <c r="N224" s="101">
        <f t="shared" si="93"/>
        <v>1</v>
      </c>
      <c r="O224" s="104">
        <f t="shared" si="94"/>
        <v>6.8386754291877008E-11</v>
      </c>
      <c r="P224" s="105">
        <f t="shared" ca="1" si="95"/>
        <v>1.2334957948126763</v>
      </c>
      <c r="Q224" s="106">
        <f t="shared" ca="1" si="96"/>
        <v>0.64833043923214473</v>
      </c>
      <c r="R224" s="107">
        <f t="shared" ca="1" si="97"/>
        <v>-17.174767715804695</v>
      </c>
      <c r="S224" s="108">
        <f t="shared" ca="1" si="98"/>
        <v>-80.105037166414434</v>
      </c>
      <c r="T224" s="116">
        <f t="shared" ca="1" si="99"/>
        <v>99.894962833585566</v>
      </c>
      <c r="V224" s="72">
        <f t="shared" ca="1" si="100"/>
        <v>12957.25</v>
      </c>
      <c r="W224" s="72">
        <f t="shared" si="101"/>
        <v>167890327.5625</v>
      </c>
      <c r="Y224" s="110">
        <f t="shared" si="102"/>
        <v>8.2489059315142317</v>
      </c>
      <c r="Z224" s="111">
        <f t="shared" si="103"/>
        <v>-39.720890624618505</v>
      </c>
      <c r="AA224" s="72">
        <f t="shared" si="104"/>
        <v>140.27910937538149</v>
      </c>
      <c r="AB224" s="110">
        <f t="shared" ca="1" si="105"/>
        <v>-9.5060733004374214</v>
      </c>
      <c r="AC224" s="111">
        <f t="shared" ca="1" si="106"/>
        <v>-40.38414654179595</v>
      </c>
      <c r="AD224" s="72">
        <f t="shared" ca="1" si="107"/>
        <v>139.61585345820404</v>
      </c>
    </row>
    <row r="225" spans="1:30">
      <c r="A225" s="118">
        <v>13032.5</v>
      </c>
      <c r="B225" s="101">
        <f t="shared" ca="1" si="81"/>
        <v>668.31720655617539</v>
      </c>
      <c r="C225" s="102">
        <f t="shared" ca="1" si="82"/>
        <v>1.5693000307795608</v>
      </c>
      <c r="D225" s="102">
        <f t="shared" si="83"/>
        <v>17.347653352804219</v>
      </c>
      <c r="E225" s="103">
        <f t="shared" si="84"/>
        <v>1.5131196700337124</v>
      </c>
      <c r="F225" s="101">
        <f t="shared" si="85"/>
        <v>982.62785790676639</v>
      </c>
      <c r="G225" s="104">
        <f t="shared" si="86"/>
        <v>1.569778647350369</v>
      </c>
      <c r="H225" s="113">
        <f t="shared" si="87"/>
        <v>1.5838819534288415</v>
      </c>
      <c r="I225" s="114">
        <f t="shared" si="88"/>
        <v>0.88749039834574317</v>
      </c>
      <c r="J225" s="101">
        <f t="shared" si="89"/>
        <v>1.0000335257056223</v>
      </c>
      <c r="K225" s="104">
        <f t="shared" si="90"/>
        <v>8.1883782283241786E-3</v>
      </c>
      <c r="L225" s="102">
        <f t="shared" si="91"/>
        <v>1</v>
      </c>
      <c r="M225" s="103">
        <f t="shared" si="92"/>
        <v>4.2989946521681255E-10</v>
      </c>
      <c r="N225" s="101">
        <f t="shared" si="93"/>
        <v>1</v>
      </c>
      <c r="O225" s="104">
        <f t="shared" si="94"/>
        <v>6.8783914434690008E-11</v>
      </c>
      <c r="P225" s="105">
        <f t="shared" ca="1" si="95"/>
        <v>1.2359572037251643</v>
      </c>
      <c r="Q225" s="106">
        <f t="shared" ca="1" si="96"/>
        <v>0.65121577954823084</v>
      </c>
      <c r="R225" s="107">
        <f t="shared" ca="1" si="97"/>
        <v>-17.212373615283067</v>
      </c>
      <c r="S225" s="108">
        <f t="shared" ca="1" si="98"/>
        <v>-80.092209946399151</v>
      </c>
      <c r="T225" s="116">
        <f t="shared" ca="1" si="99"/>
        <v>99.907790053600849</v>
      </c>
      <c r="V225" s="72">
        <f t="shared" ca="1" si="100"/>
        <v>13032.5</v>
      </c>
      <c r="W225" s="72">
        <f t="shared" si="101"/>
        <v>169846056.25</v>
      </c>
      <c r="Y225" s="110">
        <f t="shared" si="102"/>
        <v>8.2287832200495643</v>
      </c>
      <c r="Z225" s="111">
        <f t="shared" si="103"/>
        <v>-39.561396617390912</v>
      </c>
      <c r="AA225" s="72">
        <f t="shared" si="104"/>
        <v>140.43860338260907</v>
      </c>
      <c r="AB225" s="110">
        <f t="shared" ca="1" si="105"/>
        <v>-9.5235564884511277</v>
      </c>
      <c r="AC225" s="111">
        <f t="shared" ca="1" si="106"/>
        <v>-40.530813329008225</v>
      </c>
      <c r="AD225" s="72">
        <f t="shared" ca="1" si="107"/>
        <v>139.46918667099177</v>
      </c>
    </row>
    <row r="226" spans="1:30">
      <c r="A226" s="118">
        <v>13107.75</v>
      </c>
      <c r="B226" s="101">
        <f t="shared" ca="1" si="81"/>
        <v>672.17607918386136</v>
      </c>
      <c r="C226" s="102">
        <f t="shared" ca="1" si="82"/>
        <v>1.5693086208204554</v>
      </c>
      <c r="D226" s="102">
        <f t="shared" si="83"/>
        <v>17.447487272808388</v>
      </c>
      <c r="E226" s="103">
        <f t="shared" si="84"/>
        <v>1.5134500571674174</v>
      </c>
      <c r="F226" s="101">
        <f t="shared" si="85"/>
        <v>988.30157131148053</v>
      </c>
      <c r="G226" s="104">
        <f t="shared" si="86"/>
        <v>1.5697844897204005</v>
      </c>
      <c r="H226" s="113">
        <f t="shared" si="87"/>
        <v>1.5893881467489803</v>
      </c>
      <c r="I226" s="114">
        <f t="shared" si="88"/>
        <v>0.89030764859059186</v>
      </c>
      <c r="J226" s="101">
        <f t="shared" si="89"/>
        <v>1.0000339139733885</v>
      </c>
      <c r="K226" s="104">
        <f t="shared" si="90"/>
        <v>8.2356560092721656E-3</v>
      </c>
      <c r="L226" s="102">
        <f t="shared" si="91"/>
        <v>1</v>
      </c>
      <c r="M226" s="103">
        <f t="shared" si="92"/>
        <v>4.323817161093938E-10</v>
      </c>
      <c r="N226" s="101">
        <f t="shared" si="93"/>
        <v>1</v>
      </c>
      <c r="O226" s="104">
        <f t="shared" si="94"/>
        <v>6.9181074577503008E-11</v>
      </c>
      <c r="P226" s="105">
        <f t="shared" ca="1" si="95"/>
        <v>1.2384279624990229</v>
      </c>
      <c r="Q226" s="106">
        <f t="shared" ca="1" si="96"/>
        <v>0.65409018298116872</v>
      </c>
      <c r="R226" s="107">
        <f t="shared" ca="1" si="97"/>
        <v>-17.249753507950388</v>
      </c>
      <c r="S226" s="108">
        <f t="shared" ca="1" si="98"/>
        <v>-80.080090527909661</v>
      </c>
      <c r="T226" s="116">
        <f t="shared" ca="1" si="99"/>
        <v>99.919909472090339</v>
      </c>
      <c r="V226" s="72">
        <f t="shared" ca="1" si="100"/>
        <v>13107.75</v>
      </c>
      <c r="W226" s="72">
        <f t="shared" si="101"/>
        <v>171813110.0625</v>
      </c>
      <c r="Y226" s="110">
        <f t="shared" si="102"/>
        <v>8.2089147646949279</v>
      </c>
      <c r="Z226" s="111">
        <f t="shared" si="103"/>
        <v>-39.40302362868669</v>
      </c>
      <c r="AA226" s="72">
        <f t="shared" si="104"/>
        <v>140.5969763713133</v>
      </c>
      <c r="AB226" s="110">
        <f t="shared" ca="1" si="105"/>
        <v>-9.5410679257638105</v>
      </c>
      <c r="AC226" s="111">
        <f t="shared" ca="1" si="106"/>
        <v>-40.677066899222964</v>
      </c>
      <c r="AD226" s="72">
        <f t="shared" ca="1" si="107"/>
        <v>139.32293310077705</v>
      </c>
    </row>
    <row r="227" spans="1:30">
      <c r="A227" s="118">
        <v>13183</v>
      </c>
      <c r="B227" s="101">
        <f t="shared" ca="1" si="81"/>
        <v>676.03495186058035</v>
      </c>
      <c r="C227" s="102">
        <f t="shared" ca="1" si="82"/>
        <v>1.5693171127957877</v>
      </c>
      <c r="D227" s="102">
        <f t="shared" si="83"/>
        <v>17.547323075633514</v>
      </c>
      <c r="E227" s="103">
        <f t="shared" si="84"/>
        <v>1.5137766848496386</v>
      </c>
      <c r="F227" s="101">
        <f t="shared" si="85"/>
        <v>993.97528474954368</v>
      </c>
      <c r="G227" s="104">
        <f t="shared" si="86"/>
        <v>1.5697902653927309</v>
      </c>
      <c r="H227" s="113">
        <f t="shared" si="87"/>
        <v>1.5949068677222857</v>
      </c>
      <c r="I227" s="114">
        <f t="shared" si="88"/>
        <v>0.89310542432915774</v>
      </c>
      <c r="J227" s="101">
        <f t="shared" si="89"/>
        <v>1.0000343044764173</v>
      </c>
      <c r="K227" s="104">
        <f t="shared" si="90"/>
        <v>8.2829337534028619E-3</v>
      </c>
      <c r="L227" s="102">
        <f t="shared" si="91"/>
        <v>1</v>
      </c>
      <c r="M227" s="103">
        <f t="shared" si="92"/>
        <v>4.3486396700197506E-10</v>
      </c>
      <c r="N227" s="101">
        <f t="shared" si="93"/>
        <v>1</v>
      </c>
      <c r="O227" s="104">
        <f t="shared" si="94"/>
        <v>6.9578234720316007E-11</v>
      </c>
      <c r="P227" s="105">
        <f t="shared" ca="1" si="95"/>
        <v>1.2409080158235926</v>
      </c>
      <c r="Q227" s="106">
        <f t="shared" ca="1" si="96"/>
        <v>0.65695367375642355</v>
      </c>
      <c r="R227" s="107">
        <f t="shared" ca="1" si="97"/>
        <v>-17.286910842002602</v>
      </c>
      <c r="S227" s="108">
        <f t="shared" ca="1" si="98"/>
        <v>-80.0686676255648</v>
      </c>
      <c r="T227" s="116">
        <f t="shared" ca="1" si="99"/>
        <v>99.9313323744352</v>
      </c>
      <c r="V227" s="72">
        <f t="shared" ca="1" si="100"/>
        <v>13183</v>
      </c>
      <c r="W227" s="72">
        <f t="shared" si="101"/>
        <v>173791489</v>
      </c>
      <c r="Y227" s="110">
        <f t="shared" si="102"/>
        <v>8.1892965405485523</v>
      </c>
      <c r="Z227" s="111">
        <f t="shared" si="103"/>
        <v>-39.245762623395585</v>
      </c>
      <c r="AA227" s="72">
        <f t="shared" si="104"/>
        <v>140.75423737660441</v>
      </c>
      <c r="AB227" s="110">
        <f t="shared" ca="1" si="105"/>
        <v>-9.5586070356696489</v>
      </c>
      <c r="AC227" s="111">
        <f t="shared" ca="1" si="106"/>
        <v>-40.822905002169229</v>
      </c>
      <c r="AD227" s="72">
        <f t="shared" ca="1" si="107"/>
        <v>139.17709499783078</v>
      </c>
    </row>
    <row r="228" spans="1:30">
      <c r="A228" s="118">
        <v>13259.75</v>
      </c>
      <c r="B228" s="101">
        <f t="shared" ca="1" si="81"/>
        <v>679.97074563697652</v>
      </c>
      <c r="C228" s="102">
        <f t="shared" ca="1" si="82"/>
        <v>1.5693256747603994</v>
      </c>
      <c r="D228" s="102">
        <f t="shared" si="83"/>
        <v>17.649150867266968</v>
      </c>
      <c r="E228" s="103">
        <f t="shared" si="84"/>
        <v>1.5141060168588976</v>
      </c>
      <c r="F228" s="101">
        <f t="shared" si="85"/>
        <v>999.76209549920588</v>
      </c>
      <c r="G228" s="104">
        <f t="shared" si="86"/>
        <v>1.5697960886669982</v>
      </c>
      <c r="H228" s="113">
        <f t="shared" si="87"/>
        <v>1.6005483667700438</v>
      </c>
      <c r="I228" s="114">
        <f t="shared" si="88"/>
        <v>0.89593907272723372</v>
      </c>
      <c r="J228" s="101">
        <f t="shared" si="89"/>
        <v>1.0000347050660985</v>
      </c>
      <c r="K228" s="104">
        <f t="shared" si="90"/>
        <v>8.3311538728932551E-3</v>
      </c>
      <c r="L228" s="102">
        <f t="shared" si="91"/>
        <v>1</v>
      </c>
      <c r="M228" s="103">
        <f t="shared" si="92"/>
        <v>4.3739569797879377E-10</v>
      </c>
      <c r="N228" s="101">
        <f t="shared" si="93"/>
        <v>1</v>
      </c>
      <c r="O228" s="104">
        <f t="shared" si="94"/>
        <v>6.9983311676607005E-11</v>
      </c>
      <c r="P228" s="105">
        <f t="shared" ca="1" si="95"/>
        <v>1.2434470226254972</v>
      </c>
      <c r="Q228" s="106">
        <f t="shared" ca="1" si="96"/>
        <v>0.65986302856104273</v>
      </c>
      <c r="R228" s="107">
        <f t="shared" ca="1" si="97"/>
        <v>-17.324583097214685</v>
      </c>
      <c r="S228" s="108">
        <f t="shared" ca="1" si="98"/>
        <v>-80.057722971627797</v>
      </c>
      <c r="T228" s="116">
        <f t="shared" ca="1" si="99"/>
        <v>99.942277028372203</v>
      </c>
      <c r="V228" s="72">
        <f t="shared" ca="1" si="100"/>
        <v>13259.75</v>
      </c>
      <c r="W228" s="72">
        <f t="shared" si="101"/>
        <v>175820970.0625</v>
      </c>
      <c r="Y228" s="110">
        <f t="shared" si="102"/>
        <v>8.1695409234337539</v>
      </c>
      <c r="Z228" s="111">
        <f t="shared" si="103"/>
        <v>-39.086502987630858</v>
      </c>
      <c r="AA228" s="72">
        <f t="shared" si="104"/>
        <v>140.91349701236913</v>
      </c>
      <c r="AB228" s="110">
        <f t="shared" ca="1" si="105"/>
        <v>-9.5765236737669373</v>
      </c>
      <c r="AC228" s="111">
        <f t="shared" ca="1" si="106"/>
        <v>-40.971219983996974</v>
      </c>
      <c r="AD228" s="72">
        <f t="shared" ca="1" si="107"/>
        <v>139.02878001600303</v>
      </c>
    </row>
    <row r="229" spans="1:30">
      <c r="A229" s="118">
        <v>13336.5</v>
      </c>
      <c r="B229" s="101">
        <f t="shared" ca="1" si="81"/>
        <v>683.90653946264581</v>
      </c>
      <c r="C229" s="102">
        <f t="shared" ca="1" si="82"/>
        <v>1.56933413817901</v>
      </c>
      <c r="D229" s="102">
        <f t="shared" si="83"/>
        <v>17.750980551157969</v>
      </c>
      <c r="E229" s="103">
        <f t="shared" si="84"/>
        <v>1.5144315704330553</v>
      </c>
      <c r="F229" s="101">
        <f t="shared" si="85"/>
        <v>1005.5489062823802</v>
      </c>
      <c r="G229" s="104">
        <f t="shared" si="86"/>
        <v>1.5698018449168052</v>
      </c>
      <c r="H229" s="113">
        <f t="shared" si="87"/>
        <v>1.6062026271835668</v>
      </c>
      <c r="I229" s="114">
        <f t="shared" si="88"/>
        <v>0.89875279319409473</v>
      </c>
      <c r="J229" s="101">
        <f t="shared" si="89"/>
        <v>1.0000351079810386</v>
      </c>
      <c r="K229" s="104">
        <f t="shared" si="90"/>
        <v>8.3793739536399212E-3</v>
      </c>
      <c r="L229" s="102">
        <f t="shared" si="91"/>
        <v>1</v>
      </c>
      <c r="M229" s="103">
        <f t="shared" si="92"/>
        <v>4.3992742895561254E-10</v>
      </c>
      <c r="N229" s="101">
        <f t="shared" si="93"/>
        <v>1</v>
      </c>
      <c r="O229" s="104">
        <f t="shared" si="94"/>
        <v>7.0388388632898003E-11</v>
      </c>
      <c r="P229" s="105">
        <f t="shared" ca="1" si="95"/>
        <v>1.2459955827445028</v>
      </c>
      <c r="Q229" s="106">
        <f t="shared" ca="1" si="96"/>
        <v>0.66276108366059616</v>
      </c>
      <c r="R229" s="107">
        <f t="shared" ca="1" si="97"/>
        <v>-17.362030852100794</v>
      </c>
      <c r="S229" s="108">
        <f t="shared" ca="1" si="98"/>
        <v>-80.047479678310665</v>
      </c>
      <c r="T229" s="116">
        <f t="shared" ca="1" si="99"/>
        <v>99.952520321689335</v>
      </c>
      <c r="V229" s="72">
        <f t="shared" ca="1" si="100"/>
        <v>13336.5</v>
      </c>
      <c r="W229" s="72">
        <f t="shared" si="101"/>
        <v>177862232.25</v>
      </c>
      <c r="Y229" s="110">
        <f t="shared" si="102"/>
        <v>8.1500373935493702</v>
      </c>
      <c r="Z229" s="111">
        <f t="shared" si="103"/>
        <v>-38.928381295781946</v>
      </c>
      <c r="AA229" s="72">
        <f t="shared" si="104"/>
        <v>141.07161870421805</v>
      </c>
      <c r="AB229" s="110">
        <f t="shared" ca="1" si="105"/>
        <v>-9.5944678987686611</v>
      </c>
      <c r="AC229" s="111">
        <f t="shared" ca="1" si="106"/>
        <v>-41.11909838252874</v>
      </c>
      <c r="AD229" s="72">
        <f t="shared" ca="1" si="107"/>
        <v>138.88090161747127</v>
      </c>
    </row>
    <row r="230" spans="1:30">
      <c r="A230" s="118">
        <v>13413.25</v>
      </c>
      <c r="B230" s="101">
        <f t="shared" ca="1" si="81"/>
        <v>687.8423333367424</v>
      </c>
      <c r="C230" s="102">
        <f t="shared" ca="1" si="82"/>
        <v>1.5693425047432421</v>
      </c>
      <c r="D230" s="102">
        <f t="shared" si="83"/>
        <v>17.852812094927081</v>
      </c>
      <c r="E230" s="103">
        <f t="shared" si="84"/>
        <v>1.5147534101585189</v>
      </c>
      <c r="F230" s="101">
        <f t="shared" si="85"/>
        <v>1011.3357170984916</v>
      </c>
      <c r="G230" s="104">
        <f t="shared" si="86"/>
        <v>1.5698075352926837</v>
      </c>
      <c r="H230" s="113">
        <f t="shared" si="87"/>
        <v>1.611869514666471</v>
      </c>
      <c r="I230" s="114">
        <f t="shared" si="88"/>
        <v>0.9015467511253189</v>
      </c>
      <c r="J230" s="101">
        <f t="shared" si="89"/>
        <v>1.0000355132212346</v>
      </c>
      <c r="K230" s="104">
        <f t="shared" si="90"/>
        <v>8.427593995418663E-3</v>
      </c>
      <c r="L230" s="102">
        <f t="shared" si="91"/>
        <v>1</v>
      </c>
      <c r="M230" s="103">
        <f t="shared" si="92"/>
        <v>4.4245915993243131E-10</v>
      </c>
      <c r="N230" s="101">
        <f t="shared" si="93"/>
        <v>1</v>
      </c>
      <c r="O230" s="104">
        <f t="shared" si="94"/>
        <v>7.0793465589189001E-11</v>
      </c>
      <c r="P230" s="105">
        <f t="shared" ca="1" si="95"/>
        <v>1.2485536382574616</v>
      </c>
      <c r="Q230" s="106">
        <f t="shared" ca="1" si="96"/>
        <v>0.66564786619356531</v>
      </c>
      <c r="R230" s="107">
        <f t="shared" ca="1" si="97"/>
        <v>-17.399257540012002</v>
      </c>
      <c r="S230" s="108">
        <f t="shared" ca="1" si="98"/>
        <v>-80.037926286367238</v>
      </c>
      <c r="T230" s="116">
        <f t="shared" ca="1" si="99"/>
        <v>99.962073713632762</v>
      </c>
      <c r="V230" s="72">
        <f t="shared" ca="1" si="100"/>
        <v>13413.25</v>
      </c>
      <c r="W230" s="72">
        <f t="shared" si="101"/>
        <v>179915275.5625</v>
      </c>
      <c r="Y230" s="110">
        <f t="shared" si="102"/>
        <v>8.130781917830971</v>
      </c>
      <c r="Z230" s="111">
        <f t="shared" si="103"/>
        <v>-38.771388137287992</v>
      </c>
      <c r="AA230" s="72">
        <f t="shared" si="104"/>
        <v>141.228611862712</v>
      </c>
      <c r="AB230" s="110">
        <f t="shared" ca="1" si="105"/>
        <v>-9.6124391109614677</v>
      </c>
      <c r="AC230" s="111">
        <f t="shared" ca="1" si="106"/>
        <v>-41.266538149079224</v>
      </c>
      <c r="AD230" s="72">
        <f t="shared" ca="1" si="107"/>
        <v>138.73346185092078</v>
      </c>
    </row>
    <row r="231" spans="1:30">
      <c r="A231" s="118">
        <v>13490</v>
      </c>
      <c r="B231" s="101">
        <f t="shared" ca="1" si="81"/>
        <v>691.77812725843955</v>
      </c>
      <c r="C231" s="102">
        <f t="shared" ca="1" si="82"/>
        <v>1.5693507761062204</v>
      </c>
      <c r="D231" s="102">
        <f t="shared" si="83"/>
        <v>17.954645466928866</v>
      </c>
      <c r="E231" s="103">
        <f t="shared" si="84"/>
        <v>1.5150715991595545</v>
      </c>
      <c r="F231" s="101">
        <f t="shared" si="85"/>
        <v>1017.1225279469778</v>
      </c>
      <c r="G231" s="104">
        <f t="shared" si="86"/>
        <v>1.5698131609189809</v>
      </c>
      <c r="H231" s="113">
        <f t="shared" si="87"/>
        <v>1.6175488965065179</v>
      </c>
      <c r="I231" s="114">
        <f t="shared" si="88"/>
        <v>0.90432111083552136</v>
      </c>
      <c r="J231" s="101">
        <f t="shared" si="89"/>
        <v>1.0000359207866838</v>
      </c>
      <c r="K231" s="104">
        <f t="shared" si="90"/>
        <v>8.4758139980052952E-3</v>
      </c>
      <c r="L231" s="102">
        <f t="shared" si="91"/>
        <v>1</v>
      </c>
      <c r="M231" s="103">
        <f t="shared" si="92"/>
        <v>4.4499089090925002E-10</v>
      </c>
      <c r="N231" s="101">
        <f t="shared" si="93"/>
        <v>1</v>
      </c>
      <c r="O231" s="104">
        <f t="shared" si="94"/>
        <v>7.1198542545479998E-11</v>
      </c>
      <c r="P231" s="105">
        <f t="shared" ca="1" si="95"/>
        <v>1.2511211315011976</v>
      </c>
      <c r="Q231" s="106">
        <f t="shared" ca="1" si="96"/>
        <v>0.6685234037586697</v>
      </c>
      <c r="R231" s="107">
        <f t="shared" ca="1" si="97"/>
        <v>-17.436266522078117</v>
      </c>
      <c r="S231" s="108">
        <f t="shared" ca="1" si="98"/>
        <v>-80.02905150492424</v>
      </c>
      <c r="T231" s="116">
        <f t="shared" ca="1" si="99"/>
        <v>99.97094849507576</v>
      </c>
      <c r="V231" s="72">
        <f t="shared" ca="1" si="100"/>
        <v>13490</v>
      </c>
      <c r="W231" s="72">
        <f t="shared" si="101"/>
        <v>181980100</v>
      </c>
      <c r="Y231" s="110">
        <f t="shared" si="102"/>
        <v>8.111770539654179</v>
      </c>
      <c r="Z231" s="111">
        <f t="shared" si="103"/>
        <v>-38.615514162022578</v>
      </c>
      <c r="AA231" s="72">
        <f t="shared" si="104"/>
        <v>141.38448583797742</v>
      </c>
      <c r="AB231" s="110">
        <f t="shared" ca="1" si="105"/>
        <v>-9.6304367148507897</v>
      </c>
      <c r="AC231" s="111">
        <f t="shared" ca="1" si="106"/>
        <v>-41.41353734290167</v>
      </c>
      <c r="AD231" s="72">
        <f t="shared" ca="1" si="107"/>
        <v>138.58646265709834</v>
      </c>
    </row>
    <row r="232" spans="1:30">
      <c r="A232" s="118">
        <v>13568.5</v>
      </c>
      <c r="B232" s="101">
        <f t="shared" ca="1" si="81"/>
        <v>695.80366245802099</v>
      </c>
      <c r="C232" s="102">
        <f t="shared" ca="1" si="82"/>
        <v>1.5693591392688655</v>
      </c>
      <c r="D232" s="102">
        <f t="shared" si="83"/>
        <v>18.058802631494093</v>
      </c>
      <c r="E232" s="103">
        <f t="shared" si="84"/>
        <v>1.5153933310555656</v>
      </c>
      <c r="F232" s="101">
        <f t="shared" si="85"/>
        <v>1023.0412856555458</v>
      </c>
      <c r="G232" s="104">
        <f t="shared" si="86"/>
        <v>1.5698188489811806</v>
      </c>
      <c r="H232" s="113">
        <f t="shared" si="87"/>
        <v>1.6233705639019584</v>
      </c>
      <c r="I232" s="114">
        <f t="shared" si="88"/>
        <v>0.90713862607510531</v>
      </c>
      <c r="J232" s="101">
        <f t="shared" si="89"/>
        <v>1.000036340050539</v>
      </c>
      <c r="K232" s="104">
        <f t="shared" si="90"/>
        <v>8.5251334387018325E-3</v>
      </c>
      <c r="L232" s="102">
        <f t="shared" si="91"/>
        <v>1</v>
      </c>
      <c r="M232" s="103">
        <f t="shared" si="92"/>
        <v>4.4758034865101253E-10</v>
      </c>
      <c r="N232" s="101">
        <f t="shared" si="93"/>
        <v>1</v>
      </c>
      <c r="O232" s="104">
        <f t="shared" si="94"/>
        <v>7.1612855784161998E-11</v>
      </c>
      <c r="P232" s="105">
        <f t="shared" ca="1" si="95"/>
        <v>1.2537568700796926</v>
      </c>
      <c r="Q232" s="106">
        <f t="shared" ca="1" si="96"/>
        <v>0.67145290407334646</v>
      </c>
      <c r="R232" s="107">
        <f t="shared" ca="1" si="97"/>
        <v>-17.473897578250359</v>
      </c>
      <c r="S232" s="108">
        <f t="shared" ca="1" si="98"/>
        <v>-80.020664768865601</v>
      </c>
      <c r="T232" s="116">
        <f t="shared" ca="1" si="99"/>
        <v>99.979335231134399</v>
      </c>
      <c r="V232" s="72">
        <f t="shared" ca="1" si="100"/>
        <v>13568.5</v>
      </c>
      <c r="W232" s="72">
        <f t="shared" si="101"/>
        <v>184104192.25</v>
      </c>
      <c r="Y232" s="110">
        <f t="shared" si="102"/>
        <v>8.092574141175902</v>
      </c>
      <c r="Z232" s="111">
        <f t="shared" si="103"/>
        <v>-38.457234127532651</v>
      </c>
      <c r="AA232" s="72">
        <f t="shared" si="104"/>
        <v>141.54276587246736</v>
      </c>
      <c r="AB232" s="110">
        <f t="shared" ca="1" si="105"/>
        <v>-9.6488713725447575</v>
      </c>
      <c r="AC232" s="111">
        <f t="shared" ca="1" si="106"/>
        <v>-41.563430641332936</v>
      </c>
      <c r="AD232" s="72">
        <f t="shared" ca="1" si="107"/>
        <v>138.43656935866707</v>
      </c>
    </row>
    <row r="233" spans="1:30">
      <c r="A233" s="118">
        <v>13647</v>
      </c>
      <c r="B233" s="101">
        <f t="shared" ca="1" si="81"/>
        <v>699.82919770570857</v>
      </c>
      <c r="C233" s="102">
        <f t="shared" ca="1" si="82"/>
        <v>1.5693674062188749</v>
      </c>
      <c r="D233" s="102">
        <f t="shared" si="83"/>
        <v>18.162961643912126</v>
      </c>
      <c r="E233" s="103">
        <f t="shared" si="84"/>
        <v>1.5157113729167588</v>
      </c>
      <c r="F233" s="101">
        <f t="shared" si="85"/>
        <v>1028.960043396833</v>
      </c>
      <c r="G233" s="104">
        <f t="shared" si="86"/>
        <v>1.5698244716059275</v>
      </c>
      <c r="H233" s="113">
        <f t="shared" si="87"/>
        <v>1.629205026091719</v>
      </c>
      <c r="I233" s="114">
        <f t="shared" si="88"/>
        <v>0.90993598337987625</v>
      </c>
      <c r="J233" s="101">
        <f t="shared" si="89"/>
        <v>1.0000367617468879</v>
      </c>
      <c r="K233" s="104">
        <f t="shared" si="90"/>
        <v>8.5744528379242107E-3</v>
      </c>
      <c r="L233" s="102">
        <f t="shared" si="91"/>
        <v>1</v>
      </c>
      <c r="M233" s="103">
        <f t="shared" si="92"/>
        <v>4.5016980639277504E-10</v>
      </c>
      <c r="N233" s="101">
        <f t="shared" si="93"/>
        <v>1</v>
      </c>
      <c r="O233" s="104">
        <f t="shared" si="94"/>
        <v>7.2027169022843998E-11</v>
      </c>
      <c r="P233" s="105">
        <f t="shared" ca="1" si="95"/>
        <v>1.2564023604995613</v>
      </c>
      <c r="Q233" s="106">
        <f t="shared" ca="1" si="96"/>
        <v>0.67437070060085746</v>
      </c>
      <c r="R233" s="107">
        <f t="shared" ca="1" si="97"/>
        <v>-17.511307776019223</v>
      </c>
      <c r="S233" s="108">
        <f t="shared" ca="1" si="98"/>
        <v>-80.0129645789645</v>
      </c>
      <c r="T233" s="116">
        <f t="shared" ca="1" si="99"/>
        <v>99.9870354210355</v>
      </c>
      <c r="V233" s="72">
        <f t="shared" ca="1" si="100"/>
        <v>13647</v>
      </c>
      <c r="W233" s="72">
        <f t="shared" si="101"/>
        <v>186240609</v>
      </c>
      <c r="Y233" s="110">
        <f t="shared" si="102"/>
        <v>8.0736249636653703</v>
      </c>
      <c r="Z233" s="111">
        <f t="shared" si="103"/>
        <v>-38.300105305966355</v>
      </c>
      <c r="AA233" s="72">
        <f t="shared" si="104"/>
        <v>141.69989469403365</v>
      </c>
      <c r="AB233" s="110">
        <f t="shared" ca="1" si="105"/>
        <v>-9.6673323928030879</v>
      </c>
      <c r="AC233" s="111">
        <f t="shared" ca="1" si="106"/>
        <v>-41.712859272998102</v>
      </c>
      <c r="AD233" s="72">
        <f t="shared" ca="1" si="107"/>
        <v>138.28714072700188</v>
      </c>
    </row>
    <row r="234" spans="1:30">
      <c r="A234" s="118">
        <v>13725.5</v>
      </c>
      <c r="B234" s="101">
        <f t="shared" ca="1" si="81"/>
        <v>703.85473300067724</v>
      </c>
      <c r="C234" s="102">
        <f t="shared" ca="1" si="82"/>
        <v>1.5693755786070458</v>
      </c>
      <c r="D234" s="102">
        <f t="shared" si="83"/>
        <v>18.267122472573643</v>
      </c>
      <c r="E234" s="103">
        <f t="shared" si="84"/>
        <v>1.5160257878010004</v>
      </c>
      <c r="F234" s="101">
        <f t="shared" si="85"/>
        <v>1034.8788011702773</v>
      </c>
      <c r="G234" s="104">
        <f t="shared" si="86"/>
        <v>1.569830029915986</v>
      </c>
      <c r="H234" s="113">
        <f t="shared" si="87"/>
        <v>1.6350521461063321</v>
      </c>
      <c r="I234" s="114">
        <f t="shared" si="88"/>
        <v>0.91271335499568074</v>
      </c>
      <c r="J234" s="101">
        <f t="shared" si="89"/>
        <v>1.0000371858757273</v>
      </c>
      <c r="K234" s="104">
        <f t="shared" si="90"/>
        <v>8.6237721954325487E-3</v>
      </c>
      <c r="L234" s="102">
        <f t="shared" si="91"/>
        <v>1</v>
      </c>
      <c r="M234" s="103">
        <f t="shared" si="92"/>
        <v>4.5275926413453755E-10</v>
      </c>
      <c r="N234" s="101">
        <f t="shared" si="93"/>
        <v>1</v>
      </c>
      <c r="O234" s="104">
        <f t="shared" si="94"/>
        <v>7.2441482261525998E-11</v>
      </c>
      <c r="P234" s="105">
        <f t="shared" ca="1" si="95"/>
        <v>1.2590575419174377</v>
      </c>
      <c r="Q234" s="106">
        <f t="shared" ca="1" si="96"/>
        <v>0.67727682429157343</v>
      </c>
      <c r="R234" s="107">
        <f t="shared" ca="1" si="97"/>
        <v>-17.548500488357149</v>
      </c>
      <c r="S234" s="108">
        <f t="shared" ca="1" si="98"/>
        <v>-80.005939385536493</v>
      </c>
      <c r="T234" s="116">
        <f t="shared" ca="1" si="99"/>
        <v>99.994060614463507</v>
      </c>
      <c r="V234" s="72">
        <f t="shared" ca="1" si="100"/>
        <v>13725.5</v>
      </c>
      <c r="W234" s="72">
        <f t="shared" si="101"/>
        <v>188389350.25</v>
      </c>
      <c r="Y234" s="110">
        <f t="shared" si="102"/>
        <v>8.0549190110251754</v>
      </c>
      <c r="Z234" s="111">
        <f t="shared" si="103"/>
        <v>-38.144117892679553</v>
      </c>
      <c r="AA234" s="72">
        <f t="shared" si="104"/>
        <v>141.85588210732044</v>
      </c>
      <c r="AB234" s="110">
        <f t="shared" ca="1" si="105"/>
        <v>-9.6858191525008195</v>
      </c>
      <c r="AC234" s="111">
        <f t="shared" ca="1" si="106"/>
        <v>-41.861821492856947</v>
      </c>
      <c r="AD234" s="72">
        <f t="shared" ca="1" si="107"/>
        <v>138.13817850714304</v>
      </c>
    </row>
    <row r="235" spans="1:30">
      <c r="A235" s="118">
        <v>13804</v>
      </c>
      <c r="B235" s="101">
        <f t="shared" ca="1" si="81"/>
        <v>707.88026834212019</v>
      </c>
      <c r="C235" s="102">
        <f t="shared" ca="1" si="82"/>
        <v>1.5693836580466243</v>
      </c>
      <c r="D235" s="102">
        <f t="shared" si="83"/>
        <v>18.371285086585619</v>
      </c>
      <c r="E235" s="103">
        <f t="shared" si="84"/>
        <v>1.5163366373389462</v>
      </c>
      <c r="F235" s="101">
        <f t="shared" si="85"/>
        <v>1040.79755897533</v>
      </c>
      <c r="G235" s="104">
        <f t="shared" si="86"/>
        <v>1.5698355250085807</v>
      </c>
      <c r="H235" s="113">
        <f t="shared" si="87"/>
        <v>1.6409117886335545</v>
      </c>
      <c r="I235" s="114">
        <f t="shared" si="88"/>
        <v>0.91547091194933716</v>
      </c>
      <c r="J235" s="101">
        <f t="shared" si="89"/>
        <v>1.000037612437054</v>
      </c>
      <c r="K235" s="104">
        <f t="shared" si="90"/>
        <v>8.673091510986974E-3</v>
      </c>
      <c r="L235" s="102">
        <f t="shared" si="91"/>
        <v>1</v>
      </c>
      <c r="M235" s="103">
        <f t="shared" si="92"/>
        <v>4.5534872187630006E-10</v>
      </c>
      <c r="N235" s="101">
        <f t="shared" si="93"/>
        <v>1</v>
      </c>
      <c r="O235" s="104">
        <f t="shared" si="94"/>
        <v>7.2855795500207998E-11</v>
      </c>
      <c r="P235" s="105">
        <f t="shared" ca="1" si="95"/>
        <v>1.2617223537814846</v>
      </c>
      <c r="Q235" s="106">
        <f t="shared" ca="1" si="96"/>
        <v>0.6801713065501932</v>
      </c>
      <c r="R235" s="107">
        <f t="shared" ca="1" si="97"/>
        <v>-17.585479016540891</v>
      </c>
      <c r="S235" s="108">
        <f t="shared" ca="1" si="98"/>
        <v>-79.999577812931818</v>
      </c>
      <c r="T235" s="116">
        <f t="shared" ca="1" si="99"/>
        <v>100.00042218706818</v>
      </c>
      <c r="V235" s="72">
        <f t="shared" ca="1" si="100"/>
        <v>13804</v>
      </c>
      <c r="W235" s="72">
        <f t="shared" si="101"/>
        <v>190550416</v>
      </c>
      <c r="Y235" s="110">
        <f t="shared" si="102"/>
        <v>8.0364523636892589</v>
      </c>
      <c r="Z235" s="111">
        <f t="shared" si="103"/>
        <v>-37.98926215140996</v>
      </c>
      <c r="AA235" s="72">
        <f t="shared" si="104"/>
        <v>142.01073784859005</v>
      </c>
      <c r="AB235" s="110">
        <f t="shared" ca="1" si="105"/>
        <v>-9.7043310333486463</v>
      </c>
      <c r="AC235" s="111">
        <f t="shared" ca="1" si="106"/>
        <v>-42.010315661521808</v>
      </c>
      <c r="AD235" s="72">
        <f t="shared" ca="1" si="107"/>
        <v>137.98968433847818</v>
      </c>
    </row>
    <row r="236" spans="1:30">
      <c r="A236" s="118">
        <v>13884.25</v>
      </c>
      <c r="B236" s="101">
        <f t="shared" ca="1" si="81"/>
        <v>711.99554496450867</v>
      </c>
      <c r="C236" s="102">
        <f t="shared" ca="1" si="82"/>
        <v>1.5693918231630353</v>
      </c>
      <c r="D236" s="102">
        <f t="shared" si="83"/>
        <v>18.47777161114151</v>
      </c>
      <c r="E236" s="103">
        <f t="shared" si="84"/>
        <v>1.5166507939159755</v>
      </c>
      <c r="F236" s="101">
        <f t="shared" si="85"/>
        <v>1046.8482636425476</v>
      </c>
      <c r="G236" s="104">
        <f t="shared" si="86"/>
        <v>1.5698410783727388</v>
      </c>
      <c r="H236" s="113">
        <f t="shared" si="87"/>
        <v>1.6469148653103893</v>
      </c>
      <c r="I236" s="114">
        <f t="shared" si="88"/>
        <v>0.91826963774257053</v>
      </c>
      <c r="J236" s="101">
        <f t="shared" si="89"/>
        <v>1.0000380510221394</v>
      </c>
      <c r="K236" s="104">
        <f t="shared" si="90"/>
        <v>8.723510258111862E-3</v>
      </c>
      <c r="L236" s="102">
        <f t="shared" si="91"/>
        <v>1</v>
      </c>
      <c r="M236" s="103">
        <f t="shared" si="92"/>
        <v>4.5799590638300631E-10</v>
      </c>
      <c r="N236" s="101">
        <f t="shared" si="93"/>
        <v>1</v>
      </c>
      <c r="O236" s="104">
        <f t="shared" si="94"/>
        <v>7.3279345021281E-11</v>
      </c>
      <c r="P236" s="105">
        <f t="shared" ca="1" si="95"/>
        <v>1.2644564644059861</v>
      </c>
      <c r="Q236" s="106">
        <f t="shared" ca="1" si="96"/>
        <v>0.68311831504185616</v>
      </c>
      <c r="R236" s="107">
        <f t="shared" ca="1" si="97"/>
        <v>-17.623063871826744</v>
      </c>
      <c r="S236" s="108">
        <f t="shared" ca="1" si="98"/>
        <v>-79.993748732078998</v>
      </c>
      <c r="T236" s="116">
        <f t="shared" ca="1" si="99"/>
        <v>100.006251267921</v>
      </c>
      <c r="V236" s="72">
        <f t="shared" ca="1" si="100"/>
        <v>13884.25</v>
      </c>
      <c r="W236" s="72">
        <f t="shared" si="101"/>
        <v>192772398.0625</v>
      </c>
      <c r="Y236" s="110">
        <f t="shared" si="102"/>
        <v>8.0178174031682499</v>
      </c>
      <c r="Z236" s="111">
        <f t="shared" si="103"/>
        <v>-37.832113940883275</v>
      </c>
      <c r="AA236" s="72">
        <f t="shared" si="104"/>
        <v>142.16788605911671</v>
      </c>
      <c r="AB236" s="110">
        <f t="shared" ca="1" si="105"/>
        <v>-9.7232809281134909</v>
      </c>
      <c r="AC236" s="111">
        <f t="shared" ca="1" si="106"/>
        <v>-42.161634791195759</v>
      </c>
      <c r="AD236" s="72">
        <f t="shared" ca="1" si="107"/>
        <v>137.83836520880425</v>
      </c>
    </row>
    <row r="237" spans="1:30">
      <c r="A237" s="118">
        <v>13964.5</v>
      </c>
      <c r="B237" s="101">
        <f t="shared" ca="1" si="81"/>
        <v>716.11082163381968</v>
      </c>
      <c r="C237" s="102">
        <f t="shared" ca="1" si="82"/>
        <v>1.5693998944344381</v>
      </c>
      <c r="D237" s="102">
        <f t="shared" si="83"/>
        <v>18.584259938450245</v>
      </c>
      <c r="E237" s="103">
        <f t="shared" si="84"/>
        <v>1.5169613502714818</v>
      </c>
      <c r="F237" s="101">
        <f t="shared" si="85"/>
        <v>1052.8989683416785</v>
      </c>
      <c r="G237" s="104">
        <f t="shared" si="86"/>
        <v>1.5698465679097537</v>
      </c>
      <c r="H237" s="113">
        <f t="shared" si="87"/>
        <v>1.6529307482917703</v>
      </c>
      <c r="I237" s="114">
        <f t="shared" si="88"/>
        <v>0.92104801310109308</v>
      </c>
      <c r="J237" s="101">
        <f t="shared" si="89"/>
        <v>1.0000384921493695</v>
      </c>
      <c r="K237" s="104">
        <f t="shared" si="90"/>
        <v>8.7739289608844643E-3</v>
      </c>
      <c r="L237" s="102">
        <f t="shared" si="91"/>
        <v>1</v>
      </c>
      <c r="M237" s="103">
        <f t="shared" si="92"/>
        <v>4.6064309088971256E-10</v>
      </c>
      <c r="N237" s="101">
        <f t="shared" si="93"/>
        <v>1</v>
      </c>
      <c r="O237" s="104">
        <f t="shared" si="94"/>
        <v>7.3702894542354001E-11</v>
      </c>
      <c r="P237" s="105">
        <f t="shared" ca="1" si="95"/>
        <v>1.2672005126104455</v>
      </c>
      <c r="Q237" s="106">
        <f t="shared" ca="1" si="96"/>
        <v>0.68605322504478683</v>
      </c>
      <c r="R237" s="107">
        <f t="shared" ca="1" si="97"/>
        <v>-17.660431642166529</v>
      </c>
      <c r="S237" s="108">
        <f t="shared" ca="1" si="98"/>
        <v>-79.988589693912942</v>
      </c>
      <c r="T237" s="116">
        <f t="shared" ca="1" si="99"/>
        <v>100.01141030608706</v>
      </c>
      <c r="V237" s="72">
        <f t="shared" ca="1" si="100"/>
        <v>13964.5</v>
      </c>
      <c r="W237" s="72">
        <f t="shared" si="101"/>
        <v>195007260.25</v>
      </c>
      <c r="Y237" s="110">
        <f t="shared" si="102"/>
        <v>7.9994244902023937</v>
      </c>
      <c r="Z237" s="111">
        <f t="shared" si="103"/>
        <v>-37.67612806481096</v>
      </c>
      <c r="AA237" s="72">
        <f t="shared" si="104"/>
        <v>142.32387193518903</v>
      </c>
      <c r="AB237" s="110">
        <f t="shared" ca="1" si="105"/>
        <v>-9.7422557854874174</v>
      </c>
      <c r="AC237" s="111">
        <f t="shared" ca="1" si="106"/>
        <v>-42.312461629101961</v>
      </c>
      <c r="AD237" s="72">
        <f t="shared" ca="1" si="107"/>
        <v>137.68753837089804</v>
      </c>
    </row>
    <row r="238" spans="1:30">
      <c r="A238" s="118">
        <v>14044.75</v>
      </c>
      <c r="B238" s="101">
        <f t="shared" ca="1" si="81"/>
        <v>720.22609834924901</v>
      </c>
      <c r="C238" s="102">
        <f t="shared" ca="1" si="82"/>
        <v>1.5694078734694861</v>
      </c>
      <c r="D238" s="102">
        <f t="shared" si="83"/>
        <v>18.690750037698919</v>
      </c>
      <c r="E238" s="103">
        <f t="shared" si="84"/>
        <v>1.5172683678815706</v>
      </c>
      <c r="F238" s="101">
        <f t="shared" si="85"/>
        <v>1058.949673072176</v>
      </c>
      <c r="G238" s="104">
        <f t="shared" si="86"/>
        <v>1.5698519947137259</v>
      </c>
      <c r="H238" s="113">
        <f t="shared" si="87"/>
        <v>1.6589592982592223</v>
      </c>
      <c r="I238" s="114">
        <f t="shared" si="88"/>
        <v>0.92380621675261887</v>
      </c>
      <c r="J238" s="101">
        <f t="shared" si="89"/>
        <v>1.0000389358187407</v>
      </c>
      <c r="K238" s="104">
        <f t="shared" si="90"/>
        <v>8.8243476190485066E-3</v>
      </c>
      <c r="L238" s="102">
        <f t="shared" si="91"/>
        <v>1</v>
      </c>
      <c r="M238" s="103">
        <f t="shared" si="92"/>
        <v>4.6329027539641881E-10</v>
      </c>
      <c r="N238" s="101">
        <f t="shared" si="93"/>
        <v>1</v>
      </c>
      <c r="O238" s="104">
        <f t="shared" si="94"/>
        <v>7.4126444063427003E-11</v>
      </c>
      <c r="P238" s="105">
        <f t="shared" ca="1" si="95"/>
        <v>1.2699544346571157</v>
      </c>
      <c r="Q238" s="106">
        <f t="shared" ca="1" si="96"/>
        <v>0.68897607150498963</v>
      </c>
      <c r="R238" s="107">
        <f t="shared" ca="1" si="97"/>
        <v>-17.69758563336601</v>
      </c>
      <c r="S238" s="108">
        <f t="shared" ca="1" si="98"/>
        <v>-79.984089092868672</v>
      </c>
      <c r="T238" s="116">
        <f t="shared" ca="1" si="99"/>
        <v>100.01591090713133</v>
      </c>
      <c r="V238" s="72">
        <f t="shared" ca="1" si="100"/>
        <v>14044.75</v>
      </c>
      <c r="W238" s="72">
        <f t="shared" si="101"/>
        <v>197255002.5625</v>
      </c>
      <c r="Y238" s="110">
        <f t="shared" si="102"/>
        <v>7.9812696743724967</v>
      </c>
      <c r="Z238" s="111">
        <f t="shared" si="103"/>
        <v>-37.521294345522016</v>
      </c>
      <c r="AA238" s="72">
        <f t="shared" si="104"/>
        <v>142.47870565447798</v>
      </c>
      <c r="AB238" s="110">
        <f t="shared" ca="1" si="105"/>
        <v>-9.7612549608570003</v>
      </c>
      <c r="AC238" s="111">
        <f t="shared" ca="1" si="106"/>
        <v>-42.462794747346678</v>
      </c>
      <c r="AD238" s="72">
        <f t="shared" ca="1" si="107"/>
        <v>137.53720525265334</v>
      </c>
    </row>
    <row r="239" spans="1:30">
      <c r="A239" s="118">
        <v>14125</v>
      </c>
      <c r="B239" s="101">
        <f t="shared" ca="1" si="81"/>
        <v>724.3413751100104</v>
      </c>
      <c r="C239" s="102">
        <f t="shared" ca="1" si="82"/>
        <v>1.569415761840274</v>
      </c>
      <c r="D239" s="102">
        <f t="shared" si="83"/>
        <v>18.797241878772358</v>
      </c>
      <c r="E239" s="103">
        <f t="shared" si="84"/>
        <v>1.5175719068319311</v>
      </c>
      <c r="F239" s="101">
        <f t="shared" si="85"/>
        <v>1065.0003778335051</v>
      </c>
      <c r="G239" s="104">
        <f t="shared" si="86"/>
        <v>1.5698573598538919</v>
      </c>
      <c r="H239" s="113">
        <f t="shared" si="87"/>
        <v>1.6650003776207851</v>
      </c>
      <c r="I239" s="114">
        <f t="shared" si="88"/>
        <v>0.9265444260668213</v>
      </c>
      <c r="J239" s="101">
        <f t="shared" si="89"/>
        <v>1.0000393820302496</v>
      </c>
      <c r="K239" s="104">
        <f t="shared" si="90"/>
        <v>8.8747662323477167E-3</v>
      </c>
      <c r="L239" s="102">
        <f t="shared" si="91"/>
        <v>1</v>
      </c>
      <c r="M239" s="103">
        <f t="shared" si="92"/>
        <v>4.6593745990312506E-10</v>
      </c>
      <c r="N239" s="101">
        <f t="shared" si="93"/>
        <v>1</v>
      </c>
      <c r="O239" s="104">
        <f t="shared" si="94"/>
        <v>7.4549993584500005E-11</v>
      </c>
      <c r="P239" s="105">
        <f t="shared" ca="1" si="95"/>
        <v>1.2727181671330281</v>
      </c>
      <c r="Q239" s="106">
        <f t="shared" ca="1" si="96"/>
        <v>0.69188688981216462</v>
      </c>
      <c r="R239" s="107">
        <f t="shared" ca="1" si="97"/>
        <v>-17.734529080280744</v>
      </c>
      <c r="S239" s="108">
        <f t="shared" ca="1" si="98"/>
        <v>-79.980235502759072</v>
      </c>
      <c r="T239" s="116">
        <f t="shared" ca="1" si="99"/>
        <v>100.01976449724093</v>
      </c>
      <c r="V239" s="72">
        <f t="shared" ca="1" si="100"/>
        <v>14125</v>
      </c>
      <c r="W239" s="72">
        <f t="shared" si="101"/>
        <v>199515625</v>
      </c>
      <c r="Y239" s="110">
        <f t="shared" si="102"/>
        <v>7.9633490816696648</v>
      </c>
      <c r="Z239" s="111">
        <f t="shared" si="103"/>
        <v>-37.367602681730709</v>
      </c>
      <c r="AA239" s="72">
        <f t="shared" si="104"/>
        <v>142.63239731826928</v>
      </c>
      <c r="AB239" s="110">
        <f t="shared" ca="1" si="105"/>
        <v>-9.7802778150689065</v>
      </c>
      <c r="AC239" s="111">
        <f t="shared" ca="1" si="106"/>
        <v>-42.612632821028306</v>
      </c>
      <c r="AD239" s="72">
        <f t="shared" ca="1" si="107"/>
        <v>137.38736717897169</v>
      </c>
    </row>
    <row r="240" spans="1:30">
      <c r="A240" s="118">
        <v>14207.25</v>
      </c>
      <c r="B240" s="101">
        <f t="shared" ca="1" si="81"/>
        <v>728.55921333160745</v>
      </c>
      <c r="C240" s="102">
        <f t="shared" ca="1" si="82"/>
        <v>1.5694237543317475</v>
      </c>
      <c r="D240" s="102">
        <f t="shared" si="83"/>
        <v>18.906389498800092</v>
      </c>
      <c r="E240" s="103">
        <f t="shared" si="84"/>
        <v>1.5178794622784926</v>
      </c>
      <c r="F240" s="101">
        <f t="shared" si="85"/>
        <v>1071.2018790066265</v>
      </c>
      <c r="G240" s="104">
        <f t="shared" si="86"/>
        <v>1.5698627958098932</v>
      </c>
      <c r="H240" s="113">
        <f t="shared" si="87"/>
        <v>1.6712048729824236</v>
      </c>
      <c r="I240" s="114">
        <f t="shared" si="88"/>
        <v>0.92933031350872519</v>
      </c>
      <c r="J240" s="101">
        <f t="shared" si="89"/>
        <v>1.0000398420002514</v>
      </c>
      <c r="K240" s="104">
        <f t="shared" si="90"/>
        <v>8.9264413374720297E-3</v>
      </c>
      <c r="L240" s="102">
        <f t="shared" si="91"/>
        <v>1</v>
      </c>
      <c r="M240" s="103">
        <f t="shared" si="92"/>
        <v>4.6865061785548132E-10</v>
      </c>
      <c r="N240" s="101">
        <f t="shared" si="93"/>
        <v>1</v>
      </c>
      <c r="O240" s="104">
        <f t="shared" si="94"/>
        <v>7.4984098856877E-11</v>
      </c>
      <c r="P240" s="105">
        <f t="shared" ca="1" si="95"/>
        <v>1.2755608918913366</v>
      </c>
      <c r="Q240" s="106">
        <f t="shared" ca="1" si="96"/>
        <v>0.6948578078210339</v>
      </c>
      <c r="R240" s="107">
        <f t="shared" ca="1" si="97"/>
        <v>-17.772178067481597</v>
      </c>
      <c r="S240" s="108">
        <f t="shared" ca="1" si="98"/>
        <v>-79.976945502933773</v>
      </c>
      <c r="T240" s="116">
        <f t="shared" ca="1" si="99"/>
        <v>100.02305449706623</v>
      </c>
      <c r="V240" s="72">
        <f t="shared" ca="1" si="100"/>
        <v>14207.25</v>
      </c>
      <c r="W240" s="72">
        <f t="shared" si="101"/>
        <v>201845952.5625</v>
      </c>
      <c r="Y240" s="110">
        <f t="shared" si="102"/>
        <v>7.9452209469228263</v>
      </c>
      <c r="Z240" s="111">
        <f t="shared" si="103"/>
        <v>-37.211255311567918</v>
      </c>
      <c r="AA240" s="72">
        <f t="shared" si="104"/>
        <v>142.78874468843208</v>
      </c>
      <c r="AB240" s="110">
        <f t="shared" ca="1" si="105"/>
        <v>-9.7997986675229178</v>
      </c>
      <c r="AC240" s="111">
        <f t="shared" ca="1" si="106"/>
        <v>-42.765690191365842</v>
      </c>
      <c r="AD240" s="72">
        <f t="shared" ca="1" si="107"/>
        <v>137.23430980863415</v>
      </c>
    </row>
    <row r="241" spans="1:30">
      <c r="A241" s="118">
        <v>14289.5</v>
      </c>
      <c r="B241" s="101">
        <f t="shared" ca="1" si="81"/>
        <v>732.77705159920902</v>
      </c>
      <c r="C241" s="102">
        <f t="shared" ca="1" si="82"/>
        <v>1.5694316548142362</v>
      </c>
      <c r="D241" s="102">
        <f t="shared" si="83"/>
        <v>19.015538886659673</v>
      </c>
      <c r="E241" s="103">
        <f t="shared" si="84"/>
        <v>1.5181834870107145</v>
      </c>
      <c r="F241" s="101">
        <f t="shared" si="85"/>
        <v>1077.4033802110373</v>
      </c>
      <c r="G241" s="104">
        <f t="shared" si="86"/>
        <v>1.5698681691874985</v>
      </c>
      <c r="H241" s="113">
        <f t="shared" si="87"/>
        <v>1.6774222428374701</v>
      </c>
      <c r="I241" s="114">
        <f t="shared" si="88"/>
        <v>0.93209557048206593</v>
      </c>
      <c r="J241" s="101">
        <f t="shared" si="89"/>
        <v>1.0000403046406738</v>
      </c>
      <c r="K241" s="104">
        <f t="shared" si="90"/>
        <v>8.978116394922275E-3</v>
      </c>
      <c r="L241" s="102">
        <f t="shared" si="91"/>
        <v>1</v>
      </c>
      <c r="M241" s="103">
        <f t="shared" si="92"/>
        <v>4.7136377580783759E-10</v>
      </c>
      <c r="N241" s="101">
        <f t="shared" si="93"/>
        <v>1</v>
      </c>
      <c r="O241" s="104">
        <f t="shared" si="94"/>
        <v>7.5418204129254008E-11</v>
      </c>
      <c r="P241" s="105">
        <f t="shared" ca="1" si="95"/>
        <v>1.2784137883314384</v>
      </c>
      <c r="Q241" s="106">
        <f t="shared" ca="1" si="96"/>
        <v>0.69781616732367679</v>
      </c>
      <c r="R241" s="107">
        <f t="shared" ca="1" si="97"/>
        <v>-17.809612544995197</v>
      </c>
      <c r="S241" s="108">
        <f t="shared" ca="1" si="98"/>
        <v>-79.974311427577774</v>
      </c>
      <c r="T241" s="116">
        <f t="shared" ca="1" si="99"/>
        <v>100.02568857242223</v>
      </c>
      <c r="V241" s="72">
        <f t="shared" ca="1" si="100"/>
        <v>14289.5</v>
      </c>
      <c r="W241" s="72">
        <f t="shared" si="101"/>
        <v>204189810.25</v>
      </c>
      <c r="Y241" s="110">
        <f t="shared" si="102"/>
        <v>7.9273308538582077</v>
      </c>
      <c r="Z241" s="111">
        <f t="shared" si="103"/>
        <v>-37.056086391974993</v>
      </c>
      <c r="AA241" s="72">
        <f t="shared" si="104"/>
        <v>142.94391360802501</v>
      </c>
      <c r="AB241" s="110">
        <f t="shared" ca="1" si="105"/>
        <v>-9.8193430519718987</v>
      </c>
      <c r="AC241" s="111">
        <f t="shared" ca="1" si="106"/>
        <v>-42.918225035602795</v>
      </c>
      <c r="AD241" s="72">
        <f t="shared" ca="1" si="107"/>
        <v>137.0817749643972</v>
      </c>
    </row>
    <row r="242" spans="1:30">
      <c r="A242" s="118">
        <v>14371.75</v>
      </c>
      <c r="B242" s="101">
        <f t="shared" ca="1" si="81"/>
        <v>736.99488991202531</v>
      </c>
      <c r="C242" s="102">
        <f t="shared" ca="1" si="82"/>
        <v>1.5694394648674481</v>
      </c>
      <c r="D242" s="102">
        <f t="shared" si="83"/>
        <v>19.124690012082738</v>
      </c>
      <c r="E242" s="103">
        <f t="shared" si="84"/>
        <v>1.5184840414248784</v>
      </c>
      <c r="F242" s="101">
        <f t="shared" si="85"/>
        <v>1083.6048814461999</v>
      </c>
      <c r="G242" s="104">
        <f t="shared" si="86"/>
        <v>1.5698734810611212</v>
      </c>
      <c r="H242" s="113">
        <f t="shared" si="87"/>
        <v>1.6836523445576363</v>
      </c>
      <c r="I242" s="114">
        <f t="shared" si="88"/>
        <v>0.9348403834816561</v>
      </c>
      <c r="J242" s="101">
        <f t="shared" si="89"/>
        <v>1.000040769951513</v>
      </c>
      <c r="K242" s="104">
        <f t="shared" si="90"/>
        <v>9.0297914044225394E-3</v>
      </c>
      <c r="L242" s="102">
        <f t="shared" si="91"/>
        <v>1</v>
      </c>
      <c r="M242" s="103">
        <f t="shared" si="92"/>
        <v>4.7407693376019376E-10</v>
      </c>
      <c r="N242" s="101">
        <f t="shared" si="93"/>
        <v>1</v>
      </c>
      <c r="O242" s="104">
        <f t="shared" si="94"/>
        <v>7.5852309401631003E-11</v>
      </c>
      <c r="P242" s="105">
        <f t="shared" ca="1" si="95"/>
        <v>1.2812767892509282</v>
      </c>
      <c r="Q242" s="106">
        <f t="shared" ca="1" si="96"/>
        <v>0.70076200778902265</v>
      </c>
      <c r="R242" s="107">
        <f t="shared" ca="1" si="97"/>
        <v>-17.846835774858384</v>
      </c>
      <c r="S242" s="108">
        <f t="shared" ca="1" si="98"/>
        <v>-79.972321544330725</v>
      </c>
      <c r="T242" s="116">
        <f t="shared" ca="1" si="99"/>
        <v>100.02767845566927</v>
      </c>
      <c r="V242" s="72">
        <f t="shared" ca="1" si="100"/>
        <v>14371.75</v>
      </c>
      <c r="W242" s="72">
        <f t="shared" si="101"/>
        <v>206547198.0625</v>
      </c>
      <c r="Y242" s="110">
        <f t="shared" si="102"/>
        <v>7.9096748703743742</v>
      </c>
      <c r="Z242" s="111">
        <f t="shared" si="103"/>
        <v>-36.902085299129837</v>
      </c>
      <c r="AA242" s="72">
        <f t="shared" si="104"/>
        <v>143.09791470087015</v>
      </c>
      <c r="AB242" s="110">
        <f t="shared" ca="1" si="105"/>
        <v>-9.8389102983512515</v>
      </c>
      <c r="AC242" s="111">
        <f t="shared" ca="1" si="106"/>
        <v>-43.070236245200846</v>
      </c>
      <c r="AD242" s="72">
        <f t="shared" ca="1" si="107"/>
        <v>136.92976375479915</v>
      </c>
    </row>
    <row r="243" spans="1:30">
      <c r="A243" s="118">
        <v>14454</v>
      </c>
      <c r="B243" s="101">
        <f t="shared" ca="1" si="81"/>
        <v>741.21272826928418</v>
      </c>
      <c r="C243" s="102">
        <f t="shared" ca="1" si="82"/>
        <v>1.5694471860351331</v>
      </c>
      <c r="D243" s="102">
        <f t="shared" si="83"/>
        <v>19.233842845487512</v>
      </c>
      <c r="E243" s="103">
        <f t="shared" si="84"/>
        <v>1.5187811845488011</v>
      </c>
      <c r="F243" s="101">
        <f t="shared" si="85"/>
        <v>1089.8063827115895</v>
      </c>
      <c r="G243" s="104">
        <f t="shared" si="86"/>
        <v>1.5698787324807197</v>
      </c>
      <c r="H243" s="113">
        <f t="shared" si="87"/>
        <v>1.6898950373280026</v>
      </c>
      <c r="I243" s="114">
        <f t="shared" si="88"/>
        <v>0.93756493748720815</v>
      </c>
      <c r="J243" s="101">
        <f t="shared" si="89"/>
        <v>1.000041237932765</v>
      </c>
      <c r="K243" s="104">
        <f t="shared" si="90"/>
        <v>9.0814663656969153E-3</v>
      </c>
      <c r="L243" s="102">
        <f t="shared" si="91"/>
        <v>1</v>
      </c>
      <c r="M243" s="103">
        <f t="shared" si="92"/>
        <v>4.7679009171255002E-10</v>
      </c>
      <c r="N243" s="101">
        <f t="shared" si="93"/>
        <v>1</v>
      </c>
      <c r="O243" s="104">
        <f t="shared" si="94"/>
        <v>7.6286414674007999E-11</v>
      </c>
      <c r="P243" s="105">
        <f t="shared" ca="1" si="95"/>
        <v>1.2841498278114012</v>
      </c>
      <c r="Q243" s="106">
        <f t="shared" ca="1" si="96"/>
        <v>0.70369536911932085</v>
      </c>
      <c r="R243" s="107">
        <f t="shared" ca="1" si="97"/>
        <v>-17.883850948263497</v>
      </c>
      <c r="S243" s="108">
        <f t="shared" ca="1" si="98"/>
        <v>-79.970964307414064</v>
      </c>
      <c r="T243" s="116">
        <f t="shared" ca="1" si="99"/>
        <v>100.02903569258594</v>
      </c>
      <c r="V243" s="72">
        <f t="shared" ca="1" si="100"/>
        <v>14454</v>
      </c>
      <c r="W243" s="72">
        <f t="shared" si="101"/>
        <v>208918116</v>
      </c>
      <c r="Y243" s="110">
        <f t="shared" si="102"/>
        <v>7.8922491413765314</v>
      </c>
      <c r="Z243" s="111">
        <f t="shared" si="103"/>
        <v>-36.749241494617969</v>
      </c>
      <c r="AA243" s="72">
        <f t="shared" si="104"/>
        <v>143.25075850538204</v>
      </c>
      <c r="AB243" s="110">
        <f t="shared" ca="1" si="105"/>
        <v>-9.858499742758525</v>
      </c>
      <c r="AC243" s="111">
        <f t="shared" ca="1" si="106"/>
        <v>-43.221722812796081</v>
      </c>
      <c r="AD243" s="72">
        <f t="shared" ca="1" si="107"/>
        <v>136.77827718720391</v>
      </c>
    </row>
    <row r="244" spans="1:30">
      <c r="A244" s="118">
        <v>14622.5</v>
      </c>
      <c r="B244" s="101">
        <f t="shared" ca="1" si="81"/>
        <v>749.85352795746905</v>
      </c>
      <c r="C244" s="102">
        <f t="shared" ca="1" si="82"/>
        <v>1.5694627326206634</v>
      </c>
      <c r="D244" s="102">
        <f t="shared" si="83"/>
        <v>19.457462069262789</v>
      </c>
      <c r="E244" s="103">
        <f t="shared" si="84"/>
        <v>1.51937951060341</v>
      </c>
      <c r="F244" s="101">
        <f t="shared" si="85"/>
        <v>1102.5109781013168</v>
      </c>
      <c r="G244" s="104">
        <f t="shared" si="86"/>
        <v>1.5698893062236943</v>
      </c>
      <c r="H244" s="113">
        <f t="shared" si="87"/>
        <v>1.7027227537984579</v>
      </c>
      <c r="I244" s="114">
        <f t="shared" si="88"/>
        <v>0.94308405405450402</v>
      </c>
      <c r="J244" s="101">
        <f t="shared" si="89"/>
        <v>1.0000422049932871</v>
      </c>
      <c r="K244" s="104">
        <f t="shared" si="90"/>
        <v>9.1873292045103871E-3</v>
      </c>
      <c r="L244" s="102">
        <f t="shared" si="91"/>
        <v>1</v>
      </c>
      <c r="M244" s="103">
        <f t="shared" si="92"/>
        <v>4.823483545085626E-10</v>
      </c>
      <c r="N244" s="101">
        <f t="shared" si="93"/>
        <v>1</v>
      </c>
      <c r="O244" s="104">
        <f t="shared" si="94"/>
        <v>7.7175736721370001E-11</v>
      </c>
      <c r="P244" s="105">
        <f t="shared" ca="1" si="95"/>
        <v>1.2900666926133142</v>
      </c>
      <c r="Q244" s="106">
        <f t="shared" ca="1" si="96"/>
        <v>0.70966594864461197</v>
      </c>
      <c r="R244" s="107">
        <f t="shared" ca="1" si="97"/>
        <v>-17.959044797155261</v>
      </c>
      <c r="S244" s="108">
        <f t="shared" ca="1" si="98"/>
        <v>-79.970111749997514</v>
      </c>
      <c r="T244" s="116">
        <f t="shared" ca="1" si="99"/>
        <v>100.02988825000249</v>
      </c>
      <c r="V244" s="72">
        <f t="shared" ca="1" si="100"/>
        <v>14622.5</v>
      </c>
      <c r="W244" s="72">
        <f t="shared" si="101"/>
        <v>213817506.25</v>
      </c>
      <c r="Y244" s="110">
        <f t="shared" si="102"/>
        <v>7.8572534136781025</v>
      </c>
      <c r="Z244" s="111">
        <f t="shared" si="103"/>
        <v>-36.439690732767353</v>
      </c>
      <c r="AA244" s="72">
        <f t="shared" si="104"/>
        <v>143.56030926723264</v>
      </c>
      <c r="AB244" s="110">
        <f t="shared" ca="1" si="105"/>
        <v>-9.8986978639518597</v>
      </c>
      <c r="AC244" s="111">
        <f t="shared" ca="1" si="106"/>
        <v>-43.53042101723014</v>
      </c>
      <c r="AD244" s="72">
        <f t="shared" ca="1" si="107"/>
        <v>136.46957898276986</v>
      </c>
    </row>
    <row r="245" spans="1:30">
      <c r="A245" s="118">
        <v>14706.75</v>
      </c>
      <c r="B245" s="101">
        <f t="shared" ca="1" si="81"/>
        <v>754.1739278683574</v>
      </c>
      <c r="C245" s="102">
        <f t="shared" ca="1" si="82"/>
        <v>1.5694703723219643</v>
      </c>
      <c r="D245" s="102">
        <f t="shared" si="83"/>
        <v>19.569274248497887</v>
      </c>
      <c r="E245" s="103">
        <f t="shared" si="84"/>
        <v>1.5196735457484483</v>
      </c>
      <c r="F245" s="101">
        <f t="shared" si="85"/>
        <v>1108.8632758416106</v>
      </c>
      <c r="G245" s="104">
        <f t="shared" si="86"/>
        <v>1.5698945022351565</v>
      </c>
      <c r="H245" s="113">
        <f t="shared" si="87"/>
        <v>1.7091558426741453</v>
      </c>
      <c r="I245" s="114">
        <f t="shared" si="88"/>
        <v>0.94581250387956095</v>
      </c>
      <c r="J245" s="101">
        <f t="shared" si="89"/>
        <v>1.0000426927263222</v>
      </c>
      <c r="K245" s="104">
        <f t="shared" si="90"/>
        <v>9.2402605468419712E-3</v>
      </c>
      <c r="L245" s="102">
        <f t="shared" si="91"/>
        <v>1</v>
      </c>
      <c r="M245" s="103">
        <f t="shared" si="92"/>
        <v>4.8512748590656878E-10</v>
      </c>
      <c r="N245" s="101">
        <f t="shared" si="93"/>
        <v>1</v>
      </c>
      <c r="O245" s="104">
        <f t="shared" si="94"/>
        <v>7.7620397745051002E-11</v>
      </c>
      <c r="P245" s="105">
        <f t="shared" ca="1" si="95"/>
        <v>1.293040640789261</v>
      </c>
      <c r="Q245" s="106">
        <f t="shared" ca="1" si="96"/>
        <v>0.71263177164119507</v>
      </c>
      <c r="R245" s="107">
        <f t="shared" ca="1" si="97"/>
        <v>-17.996327321404227</v>
      </c>
      <c r="S245" s="108">
        <f t="shared" ca="1" si="98"/>
        <v>-79.970633432611137</v>
      </c>
      <c r="T245" s="116">
        <f t="shared" ca="1" si="99"/>
        <v>100.02936656738886</v>
      </c>
      <c r="V245" s="72">
        <f t="shared" ca="1" si="100"/>
        <v>14706.75</v>
      </c>
      <c r="W245" s="72">
        <f t="shared" si="101"/>
        <v>216288495.5625</v>
      </c>
      <c r="Y245" s="110">
        <f t="shared" si="102"/>
        <v>7.8401021075395958</v>
      </c>
      <c r="Z245" s="111">
        <f t="shared" si="103"/>
        <v>-36.286692524916447</v>
      </c>
      <c r="AA245" s="72">
        <f t="shared" si="104"/>
        <v>143.71330747508355</v>
      </c>
      <c r="AB245" s="110">
        <f t="shared" ca="1" si="105"/>
        <v>-9.9188290820623184</v>
      </c>
      <c r="AC245" s="111">
        <f t="shared" ca="1" si="106"/>
        <v>-43.683940907694691</v>
      </c>
      <c r="AD245" s="72">
        <f t="shared" ca="1" si="107"/>
        <v>136.3160590923053</v>
      </c>
    </row>
    <row r="246" spans="1:30">
      <c r="A246" s="118">
        <v>14791</v>
      </c>
      <c r="B246" s="101">
        <f t="shared" ca="1" si="81"/>
        <v>758.49432782276153</v>
      </c>
      <c r="C246" s="102">
        <f t="shared" ca="1" si="82"/>
        <v>1.569477924991461</v>
      </c>
      <c r="D246" s="102">
        <f t="shared" si="83"/>
        <v>19.681088100403141</v>
      </c>
      <c r="E246" s="103">
        <f t="shared" si="84"/>
        <v>1.5199642399240223</v>
      </c>
      <c r="F246" s="101">
        <f t="shared" si="85"/>
        <v>1115.215573611501</v>
      </c>
      <c r="G246" s="104">
        <f t="shared" si="86"/>
        <v>1.5698996390533779</v>
      </c>
      <c r="H246" s="113">
        <f t="shared" si="87"/>
        <v>1.7156015597786816</v>
      </c>
      <c r="I246" s="114">
        <f t="shared" si="88"/>
        <v>0.94852047152334373</v>
      </c>
      <c r="J246" s="101">
        <f t="shared" si="89"/>
        <v>1.0000431832612011</v>
      </c>
      <c r="K246" s="104">
        <f t="shared" si="90"/>
        <v>9.2931918373947587E-3</v>
      </c>
      <c r="L246" s="102">
        <f t="shared" si="91"/>
        <v>1</v>
      </c>
      <c r="M246" s="103">
        <f t="shared" si="92"/>
        <v>4.8790661730457507E-10</v>
      </c>
      <c r="N246" s="101">
        <f t="shared" si="93"/>
        <v>1</v>
      </c>
      <c r="O246" s="104">
        <f t="shared" si="94"/>
        <v>7.8065058768732003E-11</v>
      </c>
      <c r="P246" s="105">
        <f t="shared" ca="1" si="95"/>
        <v>1.2960248390360019</v>
      </c>
      <c r="Q246" s="106">
        <f t="shared" ca="1" si="96"/>
        <v>0.71558467615573362</v>
      </c>
      <c r="R246" s="107">
        <f t="shared" ca="1" si="97"/>
        <v>-18.033404454892707</v>
      </c>
      <c r="S246" s="108">
        <f t="shared" ca="1" si="98"/>
        <v>-79.971771525674015</v>
      </c>
      <c r="T246" s="116">
        <f t="shared" ca="1" si="99"/>
        <v>100.02822847432599</v>
      </c>
      <c r="V246" s="72">
        <f t="shared" ca="1" si="100"/>
        <v>14791</v>
      </c>
      <c r="W246" s="72">
        <f t="shared" si="101"/>
        <v>218773681</v>
      </c>
      <c r="Y246" s="110">
        <f t="shared" si="102"/>
        <v>7.8231767130353003</v>
      </c>
      <c r="Z246" s="111">
        <f t="shared" si="103"/>
        <v>-36.134864465119549</v>
      </c>
      <c r="AA246" s="72">
        <f t="shared" si="104"/>
        <v>143.86513553488044</v>
      </c>
      <c r="AB246" s="110">
        <f t="shared" ca="1" si="105"/>
        <v>-9.9389808210465063</v>
      </c>
      <c r="AC246" s="111">
        <f t="shared" ca="1" si="106"/>
        <v>-43.836907060554459</v>
      </c>
      <c r="AD246" s="72">
        <f t="shared" ca="1" si="107"/>
        <v>136.16309293944553</v>
      </c>
    </row>
    <row r="247" spans="1:30">
      <c r="A247" s="118">
        <v>14877.25</v>
      </c>
      <c r="B247" s="101">
        <f t="shared" ca="1" si="81"/>
        <v>762.91728924472136</v>
      </c>
      <c r="C247" s="102">
        <f t="shared" ca="1" si="82"/>
        <v>1.569485568341201</v>
      </c>
      <c r="D247" s="102">
        <f t="shared" si="83"/>
        <v>19.795557990180654</v>
      </c>
      <c r="E247" s="103">
        <f t="shared" si="84"/>
        <v>1.5202584330332243</v>
      </c>
      <c r="F247" s="101">
        <f t="shared" si="85"/>
        <v>1121.7186677977541</v>
      </c>
      <c r="G247" s="104">
        <f t="shared" si="86"/>
        <v>1.5699048375461511</v>
      </c>
      <c r="H247" s="113">
        <f t="shared" si="87"/>
        <v>1.7222132243524102</v>
      </c>
      <c r="I247" s="114">
        <f t="shared" si="88"/>
        <v>0.95127170486773305</v>
      </c>
      <c r="J247" s="101">
        <f t="shared" si="89"/>
        <v>1.0000436883432229</v>
      </c>
      <c r="K247" s="104">
        <f t="shared" si="90"/>
        <v>9.3473796031533964E-3</v>
      </c>
      <c r="L247" s="102">
        <f t="shared" si="91"/>
        <v>1</v>
      </c>
      <c r="M247" s="103">
        <f t="shared" si="92"/>
        <v>4.9075172214823127E-10</v>
      </c>
      <c r="N247" s="101">
        <f t="shared" si="93"/>
        <v>1</v>
      </c>
      <c r="O247" s="104">
        <f t="shared" si="94"/>
        <v>7.852027554371701E-11</v>
      </c>
      <c r="P247" s="105">
        <f t="shared" ca="1" si="95"/>
        <v>1.2990904238280467</v>
      </c>
      <c r="Q247" s="106">
        <f t="shared" ca="1" si="96"/>
        <v>0.7185943441822219</v>
      </c>
      <c r="R247" s="107">
        <f t="shared" ca="1" si="97"/>
        <v>-18.071152201149356</v>
      </c>
      <c r="S247" s="108">
        <f t="shared" ca="1" si="98"/>
        <v>-79.973563232240451</v>
      </c>
      <c r="T247" s="116">
        <f t="shared" ca="1" si="99"/>
        <v>100.02643676775955</v>
      </c>
      <c r="V247" s="72">
        <f t="shared" ca="1" si="100"/>
        <v>14877.25</v>
      </c>
      <c r="W247" s="72">
        <f t="shared" si="101"/>
        <v>221332567.5625</v>
      </c>
      <c r="Y247" s="110">
        <f t="shared" si="102"/>
        <v>7.8060796332845541</v>
      </c>
      <c r="Z247" s="111">
        <f t="shared" si="103"/>
        <v>-35.98063298769214</v>
      </c>
      <c r="AA247" s="72">
        <f t="shared" si="104"/>
        <v>144.01936701230787</v>
      </c>
      <c r="AB247" s="110">
        <f t="shared" ca="1" si="105"/>
        <v>-9.9596314875524055</v>
      </c>
      <c r="AC247" s="111">
        <f t="shared" ca="1" si="106"/>
        <v>-43.992930244548326</v>
      </c>
      <c r="AD247" s="72">
        <f t="shared" ca="1" si="107"/>
        <v>136.00706975545168</v>
      </c>
    </row>
    <row r="248" spans="1:30">
      <c r="A248" s="118">
        <v>14963.5</v>
      </c>
      <c r="B248" s="101">
        <f t="shared" ca="1" si="81"/>
        <v>767.34025071073791</v>
      </c>
      <c r="C248" s="102">
        <f t="shared" ca="1" si="82"/>
        <v>1.5694931235781615</v>
      </c>
      <c r="D248" s="102">
        <f t="shared" si="83"/>
        <v>19.910029573554702</v>
      </c>
      <c r="E248" s="103">
        <f t="shared" si="84"/>
        <v>1.5205492432742354</v>
      </c>
      <c r="F248" s="101">
        <f t="shared" si="85"/>
        <v>1128.2217620139713</v>
      </c>
      <c r="G248" s="104">
        <f t="shared" si="86"/>
        <v>1.5699099761104787</v>
      </c>
      <c r="H248" s="113">
        <f t="shared" si="87"/>
        <v>1.7288378250838001</v>
      </c>
      <c r="I248" s="114">
        <f t="shared" si="88"/>
        <v>0.95400187426687344</v>
      </c>
      <c r="J248" s="101">
        <f t="shared" si="89"/>
        <v>1.000044196361684</v>
      </c>
      <c r="K248" s="104">
        <f t="shared" si="90"/>
        <v>9.4015673140168104E-3</v>
      </c>
      <c r="L248" s="102">
        <f t="shared" si="91"/>
        <v>1</v>
      </c>
      <c r="M248" s="103">
        <f t="shared" si="92"/>
        <v>4.9359682699188757E-10</v>
      </c>
      <c r="N248" s="101">
        <f t="shared" si="93"/>
        <v>1</v>
      </c>
      <c r="O248" s="104">
        <f t="shared" si="94"/>
        <v>7.8975492318702005E-11</v>
      </c>
      <c r="P248" s="105">
        <f t="shared" ca="1" si="95"/>
        <v>1.3021666034611517</v>
      </c>
      <c r="Q248" s="106">
        <f t="shared" ca="1" si="96"/>
        <v>0.72159056903216523</v>
      </c>
      <c r="R248" s="107">
        <f t="shared" ca="1" si="97"/>
        <v>-18.108691129317311</v>
      </c>
      <c r="S248" s="108">
        <f t="shared" ca="1" si="98"/>
        <v>-79.975976915478384</v>
      </c>
      <c r="T248" s="116">
        <f t="shared" ca="1" si="99"/>
        <v>100.02402308452162</v>
      </c>
      <c r="V248" s="72">
        <f t="shared" ca="1" si="100"/>
        <v>14963.5</v>
      </c>
      <c r="W248" s="72">
        <f t="shared" si="101"/>
        <v>223906332.25</v>
      </c>
      <c r="Y248" s="110">
        <f t="shared" si="102"/>
        <v>7.7892114446839305</v>
      </c>
      <c r="Z248" s="111">
        <f t="shared" si="103"/>
        <v>-35.82760494863652</v>
      </c>
      <c r="AA248" s="72">
        <f t="shared" si="104"/>
        <v>144.17239505136348</v>
      </c>
      <c r="AB248" s="110">
        <f t="shared" ca="1" si="105"/>
        <v>-9.9803022271197364</v>
      </c>
      <c r="AC248" s="111">
        <f t="shared" ca="1" si="106"/>
        <v>-44.148371966841864</v>
      </c>
      <c r="AD248" s="72">
        <f t="shared" ca="1" si="107"/>
        <v>135.85162803315814</v>
      </c>
    </row>
    <row r="249" spans="1:30">
      <c r="A249" s="118">
        <v>15049.75</v>
      </c>
      <c r="B249" s="101">
        <f t="shared" ca="1" si="81"/>
        <v>771.76321222005322</v>
      </c>
      <c r="C249" s="102">
        <f t="shared" ca="1" si="82"/>
        <v>1.56950059221726</v>
      </c>
      <c r="D249" s="102">
        <f t="shared" si="83"/>
        <v>20.02450282148056</v>
      </c>
      <c r="E249" s="103">
        <f t="shared" si="84"/>
        <v>1.5208367286135496</v>
      </c>
      <c r="F249" s="101">
        <f t="shared" si="85"/>
        <v>1134.7248562596378</v>
      </c>
      <c r="G249" s="104">
        <f t="shared" si="86"/>
        <v>1.5699150557767081</v>
      </c>
      <c r="H249" s="113">
        <f t="shared" si="87"/>
        <v>1.7354752138343905</v>
      </c>
      <c r="I249" s="114">
        <f t="shared" si="88"/>
        <v>0.95671118046583692</v>
      </c>
      <c r="J249" s="101">
        <f t="shared" si="89"/>
        <v>1.0000447073165797</v>
      </c>
      <c r="K249" s="104">
        <f t="shared" si="90"/>
        <v>9.4557549696668575E-3</v>
      </c>
      <c r="L249" s="102">
        <f t="shared" si="91"/>
        <v>1</v>
      </c>
      <c r="M249" s="103">
        <f t="shared" si="92"/>
        <v>4.9644193183554377E-10</v>
      </c>
      <c r="N249" s="101">
        <f t="shared" si="93"/>
        <v>1</v>
      </c>
      <c r="O249" s="104">
        <f t="shared" si="94"/>
        <v>7.9430709093686999E-11</v>
      </c>
      <c r="P249" s="105">
        <f t="shared" ca="1" si="95"/>
        <v>1.3052533039066847</v>
      </c>
      <c r="Q249" s="106">
        <f t="shared" ca="1" si="96"/>
        <v>0.72457339984875013</v>
      </c>
      <c r="R249" s="107">
        <f t="shared" ca="1" si="97"/>
        <v>-18.146024389675063</v>
      </c>
      <c r="S249" s="108">
        <f t="shared" ca="1" si="98"/>
        <v>-79.979000713818735</v>
      </c>
      <c r="T249" s="116">
        <f t="shared" ca="1" si="99"/>
        <v>100.02099928618127</v>
      </c>
      <c r="V249" s="72">
        <f t="shared" ca="1" si="100"/>
        <v>15049.75</v>
      </c>
      <c r="W249" s="72">
        <f t="shared" si="101"/>
        <v>226494975.0625</v>
      </c>
      <c r="Y249" s="110">
        <f t="shared" si="102"/>
        <v>7.7725682829893428</v>
      </c>
      <c r="Z249" s="111">
        <f t="shared" si="103"/>
        <v>-35.675768905123583</v>
      </c>
      <c r="AA249" s="72">
        <f t="shared" si="104"/>
        <v>144.32423109487641</v>
      </c>
      <c r="AB249" s="110">
        <f t="shared" ca="1" si="105"/>
        <v>-10.000992325782903</v>
      </c>
      <c r="AC249" s="111">
        <f t="shared" ca="1" si="106"/>
        <v>-44.303231808695152</v>
      </c>
      <c r="AD249" s="72">
        <f t="shared" ca="1" si="107"/>
        <v>135.69676819130484</v>
      </c>
    </row>
    <row r="250" spans="1:30">
      <c r="A250" s="118">
        <v>15136</v>
      </c>
      <c r="B250" s="101">
        <f t="shared" ca="1" si="81"/>
        <v>776.18617377192732</v>
      </c>
      <c r="C250" s="102">
        <f t="shared" ca="1" si="82"/>
        <v>1.5695079757388839</v>
      </c>
      <c r="D250" s="102">
        <f t="shared" si="83"/>
        <v>20.138977705573481</v>
      </c>
      <c r="E250" s="103">
        <f t="shared" si="84"/>
        <v>1.5211209457019046</v>
      </c>
      <c r="F250" s="101">
        <f t="shared" si="85"/>
        <v>1141.2279505342499</v>
      </c>
      <c r="G250" s="104">
        <f t="shared" si="86"/>
        <v>1.5699200775517015</v>
      </c>
      <c r="H250" s="113">
        <f t="shared" si="87"/>
        <v>1.7421252444395159</v>
      </c>
      <c r="I250" s="114">
        <f t="shared" si="88"/>
        <v>0.95939982237856603</v>
      </c>
      <c r="J250" s="101">
        <f t="shared" si="89"/>
        <v>1.0000452212079058</v>
      </c>
      <c r="K250" s="104">
        <f t="shared" si="90"/>
        <v>9.5099425697854015E-3</v>
      </c>
      <c r="L250" s="102">
        <f t="shared" si="91"/>
        <v>1</v>
      </c>
      <c r="M250" s="103">
        <f t="shared" si="92"/>
        <v>4.9928703667920008E-10</v>
      </c>
      <c r="N250" s="101">
        <f t="shared" si="93"/>
        <v>1</v>
      </c>
      <c r="O250" s="104">
        <f t="shared" si="94"/>
        <v>7.9885925868672006E-11</v>
      </c>
      <c r="P250" s="105">
        <f t="shared" ca="1" si="95"/>
        <v>1.3083504515846949</v>
      </c>
      <c r="Q250" s="106">
        <f t="shared" ca="1" si="96"/>
        <v>0.72754288616985996</v>
      </c>
      <c r="R250" s="107">
        <f t="shared" ca="1" si="97"/>
        <v>-18.183155062662962</v>
      </c>
      <c r="S250" s="108">
        <f t="shared" ca="1" si="98"/>
        <v>-79.982622965286282</v>
      </c>
      <c r="T250" s="116">
        <f t="shared" ca="1" si="99"/>
        <v>100.01737703471372</v>
      </c>
      <c r="V250" s="72">
        <f t="shared" ca="1" si="100"/>
        <v>15136</v>
      </c>
      <c r="W250" s="72">
        <f t="shared" si="101"/>
        <v>229098496</v>
      </c>
      <c r="Y250" s="110">
        <f t="shared" si="102"/>
        <v>7.756146361386655</v>
      </c>
      <c r="Z250" s="111">
        <f t="shared" si="103"/>
        <v>-35.52511351789466</v>
      </c>
      <c r="AA250" s="72">
        <f t="shared" si="104"/>
        <v>144.47488648210535</v>
      </c>
      <c r="AB250" s="110">
        <f t="shared" ca="1" si="105"/>
        <v>-10.021701077168114</v>
      </c>
      <c r="AC250" s="111">
        <f t="shared" ca="1" si="106"/>
        <v>-44.457509447391615</v>
      </c>
      <c r="AD250" s="72">
        <f t="shared" ca="1" si="107"/>
        <v>135.5424905526084</v>
      </c>
    </row>
    <row r="251" spans="1:30">
      <c r="A251" s="118">
        <v>15224</v>
      </c>
      <c r="B251" s="101">
        <f t="shared" ca="1" si="81"/>
        <v>780.6988766157923</v>
      </c>
      <c r="C251" s="102">
        <f t="shared" ca="1" si="82"/>
        <v>1.5695154228466452</v>
      </c>
      <c r="D251" s="102">
        <f t="shared" si="83"/>
        <v>20.255776925990741</v>
      </c>
      <c r="E251" s="103">
        <f t="shared" si="84"/>
        <v>1.5214076185696936</v>
      </c>
      <c r="F251" s="101">
        <f t="shared" si="85"/>
        <v>1147.8629916785385</v>
      </c>
      <c r="G251" s="104">
        <f t="shared" si="86"/>
        <v>1.5699251425736584</v>
      </c>
      <c r="H251" s="113">
        <f t="shared" si="87"/>
        <v>1.7489230827789086</v>
      </c>
      <c r="I251" s="114">
        <f t="shared" si="88"/>
        <v>0.96212192348259629</v>
      </c>
      <c r="J251" s="101">
        <f t="shared" si="89"/>
        <v>1.0000457485524124</v>
      </c>
      <c r="K251" s="104">
        <f t="shared" si="90"/>
        <v>9.5652295708939534E-3</v>
      </c>
      <c r="L251" s="102">
        <f t="shared" si="91"/>
        <v>1</v>
      </c>
      <c r="M251" s="103">
        <f t="shared" si="92"/>
        <v>5.0218986828780007E-10</v>
      </c>
      <c r="N251" s="101">
        <f t="shared" si="93"/>
        <v>1</v>
      </c>
      <c r="O251" s="104">
        <f t="shared" si="94"/>
        <v>8.0350378926048003E-11</v>
      </c>
      <c r="P251" s="105">
        <f t="shared" ca="1" si="95"/>
        <v>1.3115211314035768</v>
      </c>
      <c r="Q251" s="106">
        <f t="shared" ca="1" si="96"/>
        <v>0.7305589213555137</v>
      </c>
      <c r="R251" s="107">
        <f t="shared" ca="1" si="97"/>
        <v>-18.220833442185096</v>
      </c>
      <c r="S251" s="108">
        <f t="shared" ca="1" si="98"/>
        <v>-79.986923606109414</v>
      </c>
      <c r="T251" s="116">
        <f t="shared" ca="1" si="99"/>
        <v>100.01307639389059</v>
      </c>
      <c r="V251" s="72">
        <f t="shared" ca="1" si="100"/>
        <v>15224</v>
      </c>
      <c r="W251" s="72">
        <f t="shared" si="101"/>
        <v>231770176</v>
      </c>
      <c r="Y251" s="110">
        <f t="shared" si="102"/>
        <v>7.7396154100447498</v>
      </c>
      <c r="Z251" s="111">
        <f t="shared" si="103"/>
        <v>-35.372606529118592</v>
      </c>
      <c r="AA251" s="72">
        <f t="shared" si="104"/>
        <v>144.6273934708814</v>
      </c>
      <c r="AB251" s="110">
        <f t="shared" ca="1" si="105"/>
        <v>-10.042848505348346</v>
      </c>
      <c r="AC251" s="111">
        <f t="shared" ca="1" si="106"/>
        <v>-44.614317076990773</v>
      </c>
      <c r="AD251" s="72">
        <f t="shared" ca="1" si="107"/>
        <v>135.38568292300923</v>
      </c>
    </row>
    <row r="252" spans="1:30">
      <c r="A252" s="118">
        <v>15312</v>
      </c>
      <c r="B252" s="101">
        <f t="shared" ca="1" si="81"/>
        <v>785.21157950245674</v>
      </c>
      <c r="C252" s="102">
        <f t="shared" ca="1" si="82"/>
        <v>1.5695227843556065</v>
      </c>
      <c r="D252" s="102">
        <f t="shared" si="83"/>
        <v>20.372577791967299</v>
      </c>
      <c r="E252" s="103">
        <f t="shared" si="84"/>
        <v>1.5216910043321801</v>
      </c>
      <c r="F252" s="101">
        <f t="shared" si="85"/>
        <v>1154.4980328519362</v>
      </c>
      <c r="G252" s="104">
        <f t="shared" si="86"/>
        <v>1.5699301493770161</v>
      </c>
      <c r="H252" s="113">
        <f t="shared" si="87"/>
        <v>1.7557337799420709</v>
      </c>
      <c r="I252" s="114">
        <f t="shared" si="88"/>
        <v>0.96482292577291418</v>
      </c>
      <c r="J252" s="101">
        <f t="shared" si="89"/>
        <v>1.0000462789537077</v>
      </c>
      <c r="K252" s="104">
        <f t="shared" si="90"/>
        <v>9.6205165135256152E-3</v>
      </c>
      <c r="L252" s="102">
        <f t="shared" si="91"/>
        <v>1</v>
      </c>
      <c r="M252" s="103">
        <f t="shared" si="92"/>
        <v>5.0509269989640007E-10</v>
      </c>
      <c r="N252" s="101">
        <f t="shared" si="93"/>
        <v>1</v>
      </c>
      <c r="O252" s="104">
        <f t="shared" si="94"/>
        <v>8.0814831983423999E-11</v>
      </c>
      <c r="P252" s="105">
        <f t="shared" ca="1" si="95"/>
        <v>1.3147025333842446</v>
      </c>
      <c r="Q252" s="106">
        <f t="shared" ca="1" si="96"/>
        <v>0.73356117040919622</v>
      </c>
      <c r="R252" s="107">
        <f t="shared" ca="1" si="97"/>
        <v>-18.25830719398607</v>
      </c>
      <c r="S252" s="108">
        <f t="shared" ca="1" si="98"/>
        <v>-79.991823326514037</v>
      </c>
      <c r="T252" s="116">
        <f t="shared" ca="1" si="99"/>
        <v>100.00817667348596</v>
      </c>
      <c r="V252" s="72">
        <f t="shared" ca="1" si="100"/>
        <v>15312</v>
      </c>
      <c r="W252" s="72">
        <f t="shared" si="101"/>
        <v>234457344</v>
      </c>
      <c r="Y252" s="110">
        <f t="shared" si="102"/>
        <v>7.7233070423109682</v>
      </c>
      <c r="Z252" s="111">
        <f t="shared" si="103"/>
        <v>-35.221305074291841</v>
      </c>
      <c r="AA252" s="72">
        <f t="shared" si="104"/>
        <v>144.77869492570815</v>
      </c>
      <c r="AB252" s="110">
        <f t="shared" ca="1" si="105"/>
        <v>-10.064013889415538</v>
      </c>
      <c r="AC252" s="111">
        <f t="shared" ca="1" si="106"/>
        <v>-44.770518252222189</v>
      </c>
      <c r="AD252" s="72">
        <f t="shared" ca="1" si="107"/>
        <v>135.22948174777781</v>
      </c>
    </row>
    <row r="253" spans="1:30">
      <c r="A253" s="118">
        <v>15400</v>
      </c>
      <c r="B253" s="101">
        <f t="shared" ca="1" si="81"/>
        <v>789.72428243118691</v>
      </c>
      <c r="C253" s="102">
        <f t="shared" ca="1" si="82"/>
        <v>1.5695300617331722</v>
      </c>
      <c r="D253" s="102">
        <f t="shared" si="83"/>
        <v>20.489380275361352</v>
      </c>
      <c r="E253" s="103">
        <f t="shared" si="84"/>
        <v>1.5219711591592195</v>
      </c>
      <c r="F253" s="101">
        <f t="shared" si="85"/>
        <v>1161.1330740539445</v>
      </c>
      <c r="G253" s="104">
        <f t="shared" si="86"/>
        <v>1.5699350989598067</v>
      </c>
      <c r="H253" s="113">
        <f t="shared" si="87"/>
        <v>1.7625571868656678</v>
      </c>
      <c r="I253" s="114">
        <f t="shared" si="88"/>
        <v>0.96750303465043619</v>
      </c>
      <c r="J253" s="101">
        <f t="shared" si="89"/>
        <v>1.0000468124117874</v>
      </c>
      <c r="K253" s="104">
        <f t="shared" si="90"/>
        <v>9.6758033973424994E-3</v>
      </c>
      <c r="L253" s="102">
        <f t="shared" si="91"/>
        <v>1</v>
      </c>
      <c r="M253" s="103">
        <f t="shared" si="92"/>
        <v>5.0799553150500006E-10</v>
      </c>
      <c r="N253" s="101">
        <f t="shared" si="93"/>
        <v>1</v>
      </c>
      <c r="O253" s="104">
        <f t="shared" si="94"/>
        <v>8.1279285040800009E-11</v>
      </c>
      <c r="P253" s="105">
        <f t="shared" ca="1" si="95"/>
        <v>1.3178945808240898</v>
      </c>
      <c r="Q253" s="106">
        <f t="shared" ca="1" si="96"/>
        <v>0.73654968711734314</v>
      </c>
      <c r="R253" s="107">
        <f t="shared" ca="1" si="97"/>
        <v>-18.295579376412519</v>
      </c>
      <c r="S253" s="108">
        <f t="shared" ca="1" si="98"/>
        <v>-79.997310362574424</v>
      </c>
      <c r="T253" s="116">
        <f t="shared" ca="1" si="99"/>
        <v>100.00268963742558</v>
      </c>
      <c r="V253" s="72">
        <f t="shared" ca="1" si="100"/>
        <v>15400</v>
      </c>
      <c r="W253" s="72">
        <f t="shared" si="101"/>
        <v>237160000</v>
      </c>
      <c r="Y253" s="110">
        <f t="shared" si="102"/>
        <v>7.7072174740216095</v>
      </c>
      <c r="Z253" s="111">
        <f t="shared" si="103"/>
        <v>-35.07119744197243</v>
      </c>
      <c r="AA253" s="72">
        <f t="shared" si="104"/>
        <v>144.92880255802757</v>
      </c>
      <c r="AB253" s="110">
        <f t="shared" ca="1" si="105"/>
        <v>-10.085196503552625</v>
      </c>
      <c r="AC253" s="111">
        <f t="shared" ca="1" si="106"/>
        <v>-44.926112920601987</v>
      </c>
      <c r="AD253" s="72">
        <f t="shared" ca="1" si="107"/>
        <v>135.07388707939802</v>
      </c>
    </row>
    <row r="254" spans="1:30">
      <c r="A254" s="118">
        <v>15488</v>
      </c>
      <c r="B254" s="101">
        <f t="shared" ca="1" si="81"/>
        <v>794.23698540126577</v>
      </c>
      <c r="C254" s="102">
        <f t="shared" ca="1" si="82"/>
        <v>1.5695372564133976</v>
      </c>
      <c r="D254" s="102">
        <f t="shared" si="83"/>
        <v>20.606184348668769</v>
      </c>
      <c r="E254" s="103">
        <f t="shared" si="84"/>
        <v>1.5222481379491497</v>
      </c>
      <c r="F254" s="101">
        <f t="shared" si="85"/>
        <v>1167.7681152840753</v>
      </c>
      <c r="G254" s="104">
        <f t="shared" si="86"/>
        <v>1.5699399922973796</v>
      </c>
      <c r="H254" s="113">
        <f t="shared" si="87"/>
        <v>1.769393156509687</v>
      </c>
      <c r="I254" s="114">
        <f t="shared" si="88"/>
        <v>0.97016245355133757</v>
      </c>
      <c r="J254" s="101">
        <f t="shared" si="89"/>
        <v>1.0000473489266464</v>
      </c>
      <c r="K254" s="104">
        <f t="shared" si="90"/>
        <v>9.7310902220067164E-3</v>
      </c>
      <c r="L254" s="102">
        <f t="shared" si="91"/>
        <v>1</v>
      </c>
      <c r="M254" s="103">
        <f t="shared" si="92"/>
        <v>5.1089836311360005E-10</v>
      </c>
      <c r="N254" s="101">
        <f t="shared" si="93"/>
        <v>1</v>
      </c>
      <c r="O254" s="104">
        <f t="shared" si="94"/>
        <v>8.1743738098176005E-11</v>
      </c>
      <c r="P254" s="105">
        <f t="shared" ca="1" si="95"/>
        <v>1.3210971975086849</v>
      </c>
      <c r="Q254" s="106">
        <f t="shared" ca="1" si="96"/>
        <v>0.73952452562842452</v>
      </c>
      <c r="R254" s="107">
        <f t="shared" ca="1" si="97"/>
        <v>-18.332652979612529</v>
      </c>
      <c r="S254" s="108">
        <f t="shared" ca="1" si="98"/>
        <v>-80.003373153321448</v>
      </c>
      <c r="T254" s="116">
        <f t="shared" ca="1" si="99"/>
        <v>99.996626846678552</v>
      </c>
      <c r="V254" s="72">
        <f t="shared" ca="1" si="100"/>
        <v>15488</v>
      </c>
      <c r="W254" s="72">
        <f t="shared" si="101"/>
        <v>239878144</v>
      </c>
      <c r="Y254" s="110">
        <f t="shared" si="102"/>
        <v>7.6913429974245879</v>
      </c>
      <c r="Z254" s="111">
        <f t="shared" si="103"/>
        <v>-34.922272031990182</v>
      </c>
      <c r="AA254" s="72">
        <f t="shared" si="104"/>
        <v>145.07772796800981</v>
      </c>
      <c r="AB254" s="110">
        <f t="shared" ca="1" si="105"/>
        <v>-10.106395630155614</v>
      </c>
      <c r="AC254" s="111">
        <f t="shared" ca="1" si="106"/>
        <v>-45.081101121331258</v>
      </c>
      <c r="AD254" s="72">
        <f t="shared" ca="1" si="107"/>
        <v>134.91889887866876</v>
      </c>
    </row>
    <row r="255" spans="1:30">
      <c r="A255" s="118">
        <v>15578.25</v>
      </c>
      <c r="B255" s="101">
        <f t="shared" ca="1" si="81"/>
        <v>798.86507002358906</v>
      </c>
      <c r="C255" s="102">
        <f t="shared" ca="1" si="82"/>
        <v>1.5695445506205701</v>
      </c>
      <c r="D255" s="102">
        <f t="shared" si="83"/>
        <v>20.725976513011268</v>
      </c>
      <c r="E255" s="103">
        <f t="shared" si="84"/>
        <v>1.522528955904797</v>
      </c>
      <c r="F255" s="101">
        <f t="shared" si="85"/>
        <v>1174.57280248346</v>
      </c>
      <c r="G255" s="104">
        <f t="shared" si="86"/>
        <v>1.5699449533264391</v>
      </c>
      <c r="H255" s="113">
        <f t="shared" si="87"/>
        <v>1.7764168061779984</v>
      </c>
      <c r="I255" s="114">
        <f t="shared" si="88"/>
        <v>0.97286858975264878</v>
      </c>
      <c r="J255" s="101">
        <f t="shared" si="89"/>
        <v>1.0000479023342226</v>
      </c>
      <c r="K255" s="104">
        <f t="shared" si="90"/>
        <v>9.7877905684615064E-3</v>
      </c>
      <c r="L255" s="102">
        <f t="shared" si="91"/>
        <v>1</v>
      </c>
      <c r="M255" s="103">
        <f t="shared" si="92"/>
        <v>5.1387541484855629E-10</v>
      </c>
      <c r="N255" s="101">
        <f t="shared" si="93"/>
        <v>1</v>
      </c>
      <c r="O255" s="104">
        <f t="shared" si="94"/>
        <v>8.2220066375768999E-11</v>
      </c>
      <c r="P255" s="105">
        <f t="shared" ca="1" si="95"/>
        <v>1.3243925980108704</v>
      </c>
      <c r="Q255" s="106">
        <f t="shared" ca="1" si="96"/>
        <v>0.74256127518057014</v>
      </c>
      <c r="R255" s="107">
        <f t="shared" ca="1" si="97"/>
        <v>-18.370471289581356</v>
      </c>
      <c r="S255" s="108">
        <f t="shared" ca="1" si="98"/>
        <v>-80.010177083031138</v>
      </c>
      <c r="T255" s="116">
        <f t="shared" ca="1" si="99"/>
        <v>99.989822916968862</v>
      </c>
      <c r="V255" s="72">
        <f t="shared" ca="1" si="100"/>
        <v>15578.25</v>
      </c>
      <c r="W255" s="72">
        <f t="shared" si="101"/>
        <v>242681873.0625</v>
      </c>
      <c r="Y255" s="110">
        <f t="shared" si="102"/>
        <v>7.6752822452691625</v>
      </c>
      <c r="Z255" s="111">
        <f t="shared" si="103"/>
        <v>-34.770754785127018</v>
      </c>
      <c r="AA255" s="72">
        <f t="shared" si="104"/>
        <v>145.22924521487298</v>
      </c>
      <c r="AB255" s="110">
        <f t="shared" ca="1" si="105"/>
        <v>-10.128153187969016</v>
      </c>
      <c r="AC255" s="111">
        <f t="shared" ca="1" si="106"/>
        <v>-45.239422297904142</v>
      </c>
      <c r="AD255" s="72">
        <f t="shared" ca="1" si="107"/>
        <v>134.76057770209587</v>
      </c>
    </row>
    <row r="256" spans="1:30">
      <c r="A256" s="118">
        <v>15668.5</v>
      </c>
      <c r="B256" s="101">
        <f t="shared" ca="1" si="81"/>
        <v>803.49315468792668</v>
      </c>
      <c r="C256" s="102">
        <f t="shared" ca="1" si="82"/>
        <v>1.5695517607991281</v>
      </c>
      <c r="D256" s="102">
        <f t="shared" si="83"/>
        <v>20.845770292993013</v>
      </c>
      <c r="E256" s="103">
        <f t="shared" si="84"/>
        <v>1.5228065463454192</v>
      </c>
      <c r="F256" s="101">
        <f t="shared" si="85"/>
        <v>1181.3774897114206</v>
      </c>
      <c r="G256" s="104">
        <f t="shared" si="86"/>
        <v>1.5699498572048398</v>
      </c>
      <c r="H256" s="113">
        <f t="shared" si="87"/>
        <v>1.7834533623338988</v>
      </c>
      <c r="I256" s="114">
        <f t="shared" si="88"/>
        <v>0.97555339154479248</v>
      </c>
      <c r="J256" s="101">
        <f t="shared" si="89"/>
        <v>1.0000484589568785</v>
      </c>
      <c r="K256" s="104">
        <f t="shared" si="90"/>
        <v>9.8444908519802442E-3</v>
      </c>
      <c r="L256" s="102">
        <f t="shared" si="91"/>
        <v>1</v>
      </c>
      <c r="M256" s="103">
        <f t="shared" si="92"/>
        <v>5.1685246658351253E-10</v>
      </c>
      <c r="N256" s="101">
        <f t="shared" si="93"/>
        <v>1</v>
      </c>
      <c r="O256" s="104">
        <f t="shared" si="94"/>
        <v>8.2696394653362005E-11</v>
      </c>
      <c r="P256" s="105">
        <f t="shared" ca="1" si="95"/>
        <v>1.3276989543436906</v>
      </c>
      <c r="Q256" s="106">
        <f t="shared" ca="1" si="96"/>
        <v>0.74558375460227055</v>
      </c>
      <c r="R256" s="107">
        <f t="shared" ca="1" si="97"/>
        <v>-18.408086893782063</v>
      </c>
      <c r="S256" s="108">
        <f t="shared" ca="1" si="98"/>
        <v>-80.017562596504419</v>
      </c>
      <c r="T256" s="116">
        <f t="shared" ca="1" si="99"/>
        <v>99.982437403495581</v>
      </c>
      <c r="V256" s="72">
        <f t="shared" ca="1" si="100"/>
        <v>15668.5</v>
      </c>
      <c r="W256" s="72">
        <f t="shared" si="101"/>
        <v>245501892.25</v>
      </c>
      <c r="Y256" s="110">
        <f t="shared" si="102"/>
        <v>7.6594400641476055</v>
      </c>
      <c r="Z256" s="111">
        <f t="shared" si="103"/>
        <v>-34.620456631771411</v>
      </c>
      <c r="AA256" s="72">
        <f t="shared" si="104"/>
        <v>145.37954336822858</v>
      </c>
      <c r="AB256" s="110">
        <f t="shared" ca="1" si="105"/>
        <v>-10.149926611048166</v>
      </c>
      <c r="AC256" s="111">
        <f t="shared" ca="1" si="106"/>
        <v>-45.397105964732972</v>
      </c>
      <c r="AD256" s="72">
        <f t="shared" ca="1" si="107"/>
        <v>134.60289403526701</v>
      </c>
    </row>
    <row r="257" spans="1:30">
      <c r="A257" s="118">
        <v>15758.75</v>
      </c>
      <c r="B257" s="101">
        <f t="shared" ca="1" si="81"/>
        <v>808.12123939355683</v>
      </c>
      <c r="C257" s="102">
        <f t="shared" ca="1" si="82"/>
        <v>1.5695588883927585</v>
      </c>
      <c r="D257" s="102">
        <f t="shared" si="83"/>
        <v>20.965565660919523</v>
      </c>
      <c r="E257" s="103">
        <f t="shared" si="84"/>
        <v>1.5230809645530625</v>
      </c>
      <c r="F257" s="101">
        <f t="shared" si="85"/>
        <v>1188.1821769674652</v>
      </c>
      <c r="G257" s="104">
        <f t="shared" si="86"/>
        <v>1.569954704914482</v>
      </c>
      <c r="H257" s="113">
        <f t="shared" si="87"/>
        <v>1.790502672812488</v>
      </c>
      <c r="I257" s="114">
        <f t="shared" si="88"/>
        <v>0.9782170719779153</v>
      </c>
      <c r="J257" s="101">
        <f t="shared" si="89"/>
        <v>1.0000490187946089</v>
      </c>
      <c r="K257" s="104">
        <f t="shared" si="90"/>
        <v>9.9011910721984678E-3</v>
      </c>
      <c r="L257" s="102">
        <f t="shared" si="91"/>
        <v>1</v>
      </c>
      <c r="M257" s="103">
        <f t="shared" si="92"/>
        <v>5.1982951831846877E-10</v>
      </c>
      <c r="N257" s="101">
        <f t="shared" si="93"/>
        <v>1</v>
      </c>
      <c r="O257" s="104">
        <f t="shared" si="94"/>
        <v>8.3172722930954999E-11</v>
      </c>
      <c r="P257" s="105">
        <f t="shared" ca="1" si="95"/>
        <v>1.3310161858969438</v>
      </c>
      <c r="Q257" s="106">
        <f t="shared" ca="1" si="96"/>
        <v>0.74859202338521214</v>
      </c>
      <c r="R257" s="107">
        <f t="shared" ca="1" si="97"/>
        <v>-18.445502805552522</v>
      </c>
      <c r="S257" s="108">
        <f t="shared" ca="1" si="98"/>
        <v>-80.025517867016603</v>
      </c>
      <c r="T257" s="116">
        <f t="shared" ca="1" si="99"/>
        <v>99.974482132983397</v>
      </c>
      <c r="V257" s="72">
        <f t="shared" ca="1" si="100"/>
        <v>15758.75</v>
      </c>
      <c r="W257" s="72">
        <f t="shared" si="101"/>
        <v>248338201.5625</v>
      </c>
      <c r="Y257" s="110">
        <f t="shared" si="102"/>
        <v>7.6438126934817046</v>
      </c>
      <c r="Z257" s="111">
        <f t="shared" si="103"/>
        <v>-34.471365421287032</v>
      </c>
      <c r="AA257" s="72">
        <f t="shared" si="104"/>
        <v>145.52863457871297</v>
      </c>
      <c r="AB257" s="110">
        <f t="shared" ca="1" si="105"/>
        <v>-10.171715152152723</v>
      </c>
      <c r="AC257" s="111">
        <f t="shared" ca="1" si="106"/>
        <v>-45.554152445729535</v>
      </c>
      <c r="AD257" s="72">
        <f t="shared" ca="1" si="107"/>
        <v>134.44584755427047</v>
      </c>
    </row>
    <row r="258" spans="1:30">
      <c r="A258" s="118">
        <v>15849</v>
      </c>
      <c r="B258" s="101">
        <f t="shared" ca="1" si="81"/>
        <v>812.74932413977399</v>
      </c>
      <c r="C258" s="102">
        <f t="shared" ca="1" si="82"/>
        <v>1.569565934812265</v>
      </c>
      <c r="D258" s="102">
        <f t="shared" si="83"/>
        <v>21.085362589725321</v>
      </c>
      <c r="E258" s="103">
        <f t="shared" si="84"/>
        <v>1.5233522645553641</v>
      </c>
      <c r="F258" s="101">
        <f t="shared" si="85"/>
        <v>1194.9868642511146</v>
      </c>
      <c r="G258" s="104">
        <f t="shared" si="86"/>
        <v>1.5699594974149012</v>
      </c>
      <c r="H258" s="113">
        <f t="shared" si="87"/>
        <v>1.7975645875621165</v>
      </c>
      <c r="I258" s="114">
        <f t="shared" si="88"/>
        <v>0.98085984196217768</v>
      </c>
      <c r="J258" s="101">
        <f t="shared" si="89"/>
        <v>1.0000495818474082</v>
      </c>
      <c r="K258" s="104">
        <f t="shared" si="90"/>
        <v>9.9578912287517068E-3</v>
      </c>
      <c r="L258" s="102">
        <f t="shared" si="91"/>
        <v>1</v>
      </c>
      <c r="M258" s="103">
        <f t="shared" si="92"/>
        <v>5.2280657005342501E-10</v>
      </c>
      <c r="N258" s="101">
        <f t="shared" si="93"/>
        <v>1</v>
      </c>
      <c r="O258" s="104">
        <f t="shared" si="94"/>
        <v>8.3649051208548005E-11</v>
      </c>
      <c r="P258" s="105">
        <f t="shared" ca="1" si="95"/>
        <v>1.3343442126007699</v>
      </c>
      <c r="Q258" s="106">
        <f t="shared" ca="1" si="96"/>
        <v>0.75158614135240021</v>
      </c>
      <c r="R258" s="107">
        <f t="shared" ca="1" si="97"/>
        <v>-18.482721970338119</v>
      </c>
      <c r="S258" s="108">
        <f t="shared" ca="1" si="98"/>
        <v>-80.034031278145264</v>
      </c>
      <c r="T258" s="116">
        <f t="shared" ca="1" si="99"/>
        <v>99.965968721854736</v>
      </c>
      <c r="V258" s="72">
        <f t="shared" ca="1" si="100"/>
        <v>15849</v>
      </c>
      <c r="W258" s="72">
        <f t="shared" si="101"/>
        <v>251190801</v>
      </c>
      <c r="Y258" s="110">
        <f t="shared" si="102"/>
        <v>7.6283964495989975</v>
      </c>
      <c r="Z258" s="111">
        <f t="shared" si="103"/>
        <v>-34.323469124368231</v>
      </c>
      <c r="AA258" s="72">
        <f t="shared" si="104"/>
        <v>145.67653087563178</v>
      </c>
      <c r="AB258" s="110">
        <f t="shared" ca="1" si="105"/>
        <v>-10.193518073055612</v>
      </c>
      <c r="AC258" s="111">
        <f t="shared" ca="1" si="106"/>
        <v>-45.710562153777069</v>
      </c>
      <c r="AD258" s="72">
        <f t="shared" ca="1" si="107"/>
        <v>134.28943784622294</v>
      </c>
    </row>
    <row r="259" spans="1:30">
      <c r="A259" s="118">
        <v>15941.25</v>
      </c>
      <c r="B259" s="101">
        <f t="shared" ca="1" si="81"/>
        <v>817.47997036203901</v>
      </c>
      <c r="C259" s="102">
        <f t="shared" ca="1" si="82"/>
        <v>1.5695730549281177</v>
      </c>
      <c r="D259" s="102">
        <f t="shared" si="83"/>
        <v>21.207815883726017</v>
      </c>
      <c r="E259" s="103">
        <f t="shared" si="84"/>
        <v>1.523626409096059</v>
      </c>
      <c r="F259" s="101">
        <f t="shared" si="85"/>
        <v>1201.9423479569023</v>
      </c>
      <c r="G259" s="104">
        <f t="shared" si="86"/>
        <v>1.569964340038571</v>
      </c>
      <c r="H259" s="113">
        <f t="shared" si="87"/>
        <v>1.8047958713401595</v>
      </c>
      <c r="I259" s="114">
        <f t="shared" si="88"/>
        <v>0.98353978417189381</v>
      </c>
      <c r="J259" s="101">
        <f t="shared" si="89"/>
        <v>1.0000501607005567</v>
      </c>
      <c r="K259" s="104">
        <f t="shared" si="90"/>
        <v>1.0015847832293206E-2</v>
      </c>
      <c r="L259" s="102">
        <f t="shared" si="91"/>
        <v>1</v>
      </c>
      <c r="M259" s="103">
        <f t="shared" si="92"/>
        <v>5.2584959523403127E-10</v>
      </c>
      <c r="N259" s="101">
        <f t="shared" si="93"/>
        <v>1</v>
      </c>
      <c r="O259" s="104">
        <f t="shared" si="94"/>
        <v>8.4135935237445005E-11</v>
      </c>
      <c r="P259" s="105">
        <f t="shared" ca="1" si="95"/>
        <v>1.3377570644348113</v>
      </c>
      <c r="Q259" s="106">
        <f t="shared" ca="1" si="96"/>
        <v>0.75463204889887536</v>
      </c>
      <c r="R259" s="107">
        <f t="shared" ca="1" si="97"/>
        <v>-18.520565598556484</v>
      </c>
      <c r="S259" s="108">
        <f t="shared" ca="1" si="98"/>
        <v>-80.043298305359315</v>
      </c>
      <c r="T259" s="116">
        <f t="shared" ca="1" si="99"/>
        <v>99.956701694640685</v>
      </c>
      <c r="V259" s="72">
        <f t="shared" ca="1" si="100"/>
        <v>15941.25</v>
      </c>
      <c r="W259" s="72">
        <f t="shared" si="101"/>
        <v>254123451.5625</v>
      </c>
      <c r="Y259" s="110">
        <f t="shared" si="102"/>
        <v>7.6128530116585411</v>
      </c>
      <c r="Z259" s="111">
        <f t="shared" si="103"/>
        <v>-34.173517876770624</v>
      </c>
      <c r="AA259" s="72">
        <f t="shared" si="104"/>
        <v>145.82648212322937</v>
      </c>
      <c r="AB259" s="110">
        <f t="shared" ca="1" si="105"/>
        <v>-10.215818263333524</v>
      </c>
      <c r="AC259" s="111">
        <f t="shared" ca="1" si="106"/>
        <v>-45.869780428588719</v>
      </c>
      <c r="AD259" s="72">
        <f t="shared" ca="1" si="107"/>
        <v>134.13021957141129</v>
      </c>
    </row>
    <row r="260" spans="1:30">
      <c r="A260" s="118">
        <v>16033.5</v>
      </c>
      <c r="B260" s="101">
        <f t="shared" ca="1" si="81"/>
        <v>822.21061662527006</v>
      </c>
      <c r="C260" s="102">
        <f t="shared" ca="1" si="82"/>
        <v>1.5695800931118022</v>
      </c>
      <c r="D260" s="102">
        <f t="shared" si="83"/>
        <v>21.330270753304561</v>
      </c>
      <c r="E260" s="103">
        <f t="shared" si="84"/>
        <v>1.5238974059862411</v>
      </c>
      <c r="F260" s="101">
        <f t="shared" si="85"/>
        <v>1208.8978316905525</v>
      </c>
      <c r="G260" s="104">
        <f t="shared" si="86"/>
        <v>1.5699691269374489</v>
      </c>
      <c r="H260" s="113">
        <f t="shared" si="87"/>
        <v>1.8120400138147643</v>
      </c>
      <c r="I260" s="114">
        <f t="shared" si="88"/>
        <v>0.98619831769455824</v>
      </c>
      <c r="J260" s="101">
        <f t="shared" si="89"/>
        <v>1.0000507429128376</v>
      </c>
      <c r="K260" s="104">
        <f t="shared" si="90"/>
        <v>1.0073804368546711E-2</v>
      </c>
      <c r="L260" s="102">
        <f t="shared" si="91"/>
        <v>1</v>
      </c>
      <c r="M260" s="103">
        <f t="shared" si="92"/>
        <v>5.2889262041463753E-10</v>
      </c>
      <c r="N260" s="101">
        <f t="shared" si="93"/>
        <v>1</v>
      </c>
      <c r="O260" s="104">
        <f t="shared" si="94"/>
        <v>8.4622819266342005E-11</v>
      </c>
      <c r="P260" s="105">
        <f t="shared" ca="1" si="95"/>
        <v>1.3411810277325609</v>
      </c>
      <c r="Q260" s="106">
        <f t="shared" ca="1" si="96"/>
        <v>0.75766329887770334</v>
      </c>
      <c r="R260" s="107">
        <f t="shared" ca="1" si="97"/>
        <v>-18.558209676715812</v>
      </c>
      <c r="S260" s="108">
        <f t="shared" ca="1" si="98"/>
        <v>-80.053124599294506</v>
      </c>
      <c r="T260" s="116">
        <f t="shared" ca="1" si="99"/>
        <v>99.946875400705494</v>
      </c>
      <c r="V260" s="72">
        <f t="shared" ca="1" si="100"/>
        <v>16033.5</v>
      </c>
      <c r="W260" s="72">
        <f t="shared" si="101"/>
        <v>257073122.25</v>
      </c>
      <c r="Y260" s="110">
        <f t="shared" si="102"/>
        <v>7.5975226169535537</v>
      </c>
      <c r="Z260" s="111">
        <f t="shared" si="103"/>
        <v>-34.024790059936684</v>
      </c>
      <c r="AA260" s="72">
        <f t="shared" si="104"/>
        <v>145.97520994006331</v>
      </c>
      <c r="AB260" s="110">
        <f t="shared" ca="1" si="105"/>
        <v>-10.23813194678786</v>
      </c>
      <c r="AC260" s="111">
        <f t="shared" ca="1" si="106"/>
        <v>-46.028334539357786</v>
      </c>
      <c r="AD260" s="72">
        <f t="shared" ca="1" si="107"/>
        <v>133.97166546064221</v>
      </c>
    </row>
    <row r="261" spans="1:30">
      <c r="A261" s="118">
        <v>16125.75</v>
      </c>
      <c r="B261" s="101">
        <f t="shared" ca="1" si="81"/>
        <v>826.94126292876422</v>
      </c>
      <c r="C261" s="102">
        <f t="shared" ca="1" si="82"/>
        <v>1.5695870507694349</v>
      </c>
      <c r="D261" s="102">
        <f t="shared" si="83"/>
        <v>21.452727171480166</v>
      </c>
      <c r="E261" s="103">
        <f t="shared" si="84"/>
        <v>1.524165309088001</v>
      </c>
      <c r="F261" s="101">
        <f t="shared" si="85"/>
        <v>1215.8533154515869</v>
      </c>
      <c r="G261" s="104">
        <f t="shared" si="86"/>
        <v>1.5699738590678824</v>
      </c>
      <c r="H261" s="113">
        <f t="shared" si="87"/>
        <v>1.8192968613822587</v>
      </c>
      <c r="I261" s="114">
        <f t="shared" si="88"/>
        <v>0.98883566091084729</v>
      </c>
      <c r="J261" s="101">
        <f t="shared" si="89"/>
        <v>1.0000513284842452</v>
      </c>
      <c r="K261" s="104">
        <f t="shared" si="90"/>
        <v>1.0131760837122989E-2</v>
      </c>
      <c r="L261" s="102">
        <f t="shared" si="91"/>
        <v>1</v>
      </c>
      <c r="M261" s="103">
        <f t="shared" si="92"/>
        <v>5.3193564559524378E-10</v>
      </c>
      <c r="N261" s="101">
        <f t="shared" si="93"/>
        <v>1</v>
      </c>
      <c r="O261" s="104">
        <f t="shared" si="94"/>
        <v>8.5109703295239004E-11</v>
      </c>
      <c r="P261" s="105">
        <f t="shared" ca="1" si="95"/>
        <v>1.3446160187306135</v>
      </c>
      <c r="Q261" s="106">
        <f t="shared" ca="1" si="96"/>
        <v>0.76067995614330131</v>
      </c>
      <c r="R261" s="107">
        <f t="shared" ca="1" si="97"/>
        <v>-18.595657141927965</v>
      </c>
      <c r="S261" s="108">
        <f t="shared" ca="1" si="98"/>
        <v>-80.063498412810489</v>
      </c>
      <c r="T261" s="116">
        <f t="shared" ca="1" si="99"/>
        <v>99.936501587189511</v>
      </c>
      <c r="V261" s="72">
        <f t="shared" ca="1" si="100"/>
        <v>16125.75</v>
      </c>
      <c r="W261" s="72">
        <f t="shared" si="101"/>
        <v>260039813.0625</v>
      </c>
      <c r="Y261" s="110">
        <f t="shared" si="102"/>
        <v>7.5824015689838138</v>
      </c>
      <c r="Z261" s="111">
        <f t="shared" si="103"/>
        <v>-33.877273216347696</v>
      </c>
      <c r="AA261" s="72">
        <f t="shared" si="104"/>
        <v>146.1227267836523</v>
      </c>
      <c r="AB261" s="110">
        <f t="shared" ca="1" si="105"/>
        <v>-10.260458364030276</v>
      </c>
      <c r="AC261" s="111">
        <f t="shared" ca="1" si="106"/>
        <v>-46.1862251964628</v>
      </c>
      <c r="AD261" s="72">
        <f t="shared" ca="1" si="107"/>
        <v>133.8137748035372</v>
      </c>
    </row>
    <row r="262" spans="1:30">
      <c r="A262" s="118">
        <v>16218</v>
      </c>
      <c r="B262" s="101">
        <f t="shared" ca="1" si="81"/>
        <v>831.67190927183435</v>
      </c>
      <c r="C262" s="102">
        <f t="shared" ca="1" si="82"/>
        <v>1.5695939292751397</v>
      </c>
      <c r="D262" s="102">
        <f t="shared" si="83"/>
        <v>21.575185111884252</v>
      </c>
      <c r="E262" s="103">
        <f t="shared" si="84"/>
        <v>1.5244301710423718</v>
      </c>
      <c r="F262" s="101">
        <f t="shared" si="85"/>
        <v>1222.8087992395383</v>
      </c>
      <c r="G262" s="104">
        <f t="shared" si="86"/>
        <v>1.5699785373644597</v>
      </c>
      <c r="H262" s="113">
        <f t="shared" si="87"/>
        <v>1.8265662626127375</v>
      </c>
      <c r="I262" s="114">
        <f t="shared" si="88"/>
        <v>0.99145202991323711</v>
      </c>
      <c r="J262" s="101">
        <f t="shared" si="89"/>
        <v>1.0000519174147735</v>
      </c>
      <c r="K262" s="104">
        <f t="shared" si="90"/>
        <v>1.0189717237632819E-2</v>
      </c>
      <c r="L262" s="102">
        <f t="shared" si="91"/>
        <v>1</v>
      </c>
      <c r="M262" s="103">
        <f t="shared" si="92"/>
        <v>5.3497867077585004E-10</v>
      </c>
      <c r="N262" s="101">
        <f t="shared" si="93"/>
        <v>1</v>
      </c>
      <c r="O262" s="104">
        <f t="shared" si="94"/>
        <v>8.5596587324136004E-11</v>
      </c>
      <c r="P262" s="105">
        <f t="shared" ca="1" si="95"/>
        <v>1.3480619542537515</v>
      </c>
      <c r="Q262" s="106">
        <f t="shared" ca="1" si="96"/>
        <v>0.76368208584016817</v>
      </c>
      <c r="R262" s="107">
        <f t="shared" ca="1" si="97"/>
        <v>-18.632910864710215</v>
      </c>
      <c r="S262" s="108">
        <f t="shared" ca="1" si="98"/>
        <v>-80.074408213373417</v>
      </c>
      <c r="T262" s="116">
        <f t="shared" ca="1" si="99"/>
        <v>99.925591786626583</v>
      </c>
      <c r="V262" s="72">
        <f t="shared" ca="1" si="100"/>
        <v>16218</v>
      </c>
      <c r="W262" s="72">
        <f t="shared" si="101"/>
        <v>263023524</v>
      </c>
      <c r="Y262" s="110">
        <f t="shared" si="102"/>
        <v>7.5674862475481657</v>
      </c>
      <c r="Z262" s="111">
        <f t="shared" si="103"/>
        <v>-33.730955018342435</v>
      </c>
      <c r="AA262" s="72">
        <f t="shared" si="104"/>
        <v>146.26904498165757</v>
      </c>
      <c r="AB262" s="110">
        <f t="shared" ca="1" si="105"/>
        <v>-10.282796765376876</v>
      </c>
      <c r="AC262" s="111">
        <f t="shared" ca="1" si="106"/>
        <v>-46.343453195031017</v>
      </c>
      <c r="AD262" s="72">
        <f t="shared" ca="1" si="107"/>
        <v>133.65654680496897</v>
      </c>
    </row>
    <row r="263" spans="1:30">
      <c r="A263" s="118">
        <v>16312.5</v>
      </c>
      <c r="B263" s="101">
        <f t="shared" ca="1" si="81"/>
        <v>836.51793727336189</v>
      </c>
      <c r="C263" s="102">
        <f t="shared" ca="1" si="82"/>
        <v>1.569600894881702</v>
      </c>
      <c r="D263" s="102">
        <f t="shared" si="83"/>
        <v>21.700631382757336</v>
      </c>
      <c r="E263" s="103">
        <f t="shared" si="84"/>
        <v>1.5246983935094707</v>
      </c>
      <c r="F263" s="101">
        <f t="shared" si="85"/>
        <v>1229.9339290009696</v>
      </c>
      <c r="G263" s="104">
        <f t="shared" si="86"/>
        <v>1.5699832749011353</v>
      </c>
      <c r="H263" s="113">
        <f t="shared" si="87"/>
        <v>1.8340258269496581</v>
      </c>
      <c r="I263" s="114">
        <f t="shared" si="88"/>
        <v>0.99411068848393924</v>
      </c>
      <c r="J263" s="101">
        <f t="shared" si="89"/>
        <v>1.0000525241924694</v>
      </c>
      <c r="K263" s="104">
        <f t="shared" si="90"/>
        <v>1.0249087137902997E-2</v>
      </c>
      <c r="L263" s="102">
        <f t="shared" si="91"/>
        <v>1</v>
      </c>
      <c r="M263" s="103">
        <f t="shared" si="92"/>
        <v>5.3809591608281254E-10</v>
      </c>
      <c r="N263" s="101">
        <f t="shared" si="93"/>
        <v>1</v>
      </c>
      <c r="O263" s="104">
        <f t="shared" si="94"/>
        <v>8.6095346573250001E-11</v>
      </c>
      <c r="P263" s="105">
        <f t="shared" ca="1" si="95"/>
        <v>1.3516031988483896</v>
      </c>
      <c r="Q263" s="106">
        <f t="shared" ca="1" si="96"/>
        <v>0.76674244320958496</v>
      </c>
      <c r="R263" s="107">
        <f t="shared" ca="1" si="97"/>
        <v>-18.670875259100519</v>
      </c>
      <c r="S263" s="108">
        <f t="shared" ca="1" si="98"/>
        <v>-80.086128029133434</v>
      </c>
      <c r="T263" s="116">
        <f t="shared" ca="1" si="99"/>
        <v>99.913871970866566</v>
      </c>
      <c r="V263" s="72">
        <f t="shared" ca="1" si="100"/>
        <v>16312.5</v>
      </c>
      <c r="W263" s="72">
        <f t="shared" si="101"/>
        <v>266097656.25</v>
      </c>
      <c r="Y263" s="110">
        <f t="shared" si="102"/>
        <v>7.552416746181426</v>
      </c>
      <c r="Z263" s="111">
        <f t="shared" si="103"/>
        <v>-33.582298188327421</v>
      </c>
      <c r="AA263" s="72">
        <f t="shared" si="104"/>
        <v>146.41770181167257</v>
      </c>
      <c r="AB263" s="110">
        <f t="shared" ca="1" si="105"/>
        <v>-10.305691658400441</v>
      </c>
      <c r="AC263" s="111">
        <f t="shared" ca="1" si="106"/>
        <v>-46.503829840806027</v>
      </c>
      <c r="AD263" s="72">
        <f t="shared" ca="1" si="107"/>
        <v>133.49617015919398</v>
      </c>
    </row>
    <row r="264" spans="1:30">
      <c r="A264" s="118">
        <v>16407</v>
      </c>
      <c r="B264" s="101">
        <f t="shared" ca="1" si="81"/>
        <v>841.36396531500964</v>
      </c>
      <c r="C264" s="102">
        <f t="shared" ca="1" si="82"/>
        <v>1.5696077802482589</v>
      </c>
      <c r="D264" s="102">
        <f t="shared" si="83"/>
        <v>21.826079196898924</v>
      </c>
      <c r="E264" s="103">
        <f t="shared" si="84"/>
        <v>1.5249635327186264</v>
      </c>
      <c r="F264" s="101">
        <f t="shared" si="85"/>
        <v>1237.0590587896877</v>
      </c>
      <c r="G264" s="104">
        <f t="shared" si="86"/>
        <v>1.5699879578639189</v>
      </c>
      <c r="H264" s="113">
        <f t="shared" si="87"/>
        <v>1.8414982499540404</v>
      </c>
      <c r="I264" s="114">
        <f t="shared" si="88"/>
        <v>0.99674778898445249</v>
      </c>
      <c r="J264" s="101">
        <f t="shared" si="89"/>
        <v>1.0000531344951311</v>
      </c>
      <c r="K264" s="104">
        <f t="shared" si="90"/>
        <v>1.0308456965919074E-2</v>
      </c>
      <c r="L264" s="102">
        <f t="shared" si="91"/>
        <v>1</v>
      </c>
      <c r="M264" s="103">
        <f t="shared" si="92"/>
        <v>5.4121316138977505E-10</v>
      </c>
      <c r="N264" s="101">
        <f t="shared" si="93"/>
        <v>1</v>
      </c>
      <c r="O264" s="104">
        <f t="shared" si="94"/>
        <v>8.6594105822364011E-11</v>
      </c>
      <c r="P264" s="105">
        <f t="shared" ca="1" si="95"/>
        <v>1.3551557535540648</v>
      </c>
      <c r="Q264" s="106">
        <f t="shared" ca="1" si="96"/>
        <v>0.76978769495473842</v>
      </c>
      <c r="R264" s="107">
        <f t="shared" ca="1" si="97"/>
        <v>-18.708642236285439</v>
      </c>
      <c r="S264" s="108">
        <f t="shared" ca="1" si="98"/>
        <v>-80.098386472073187</v>
      </c>
      <c r="T264" s="116">
        <f t="shared" ca="1" si="99"/>
        <v>99.901613527926813</v>
      </c>
      <c r="V264" s="72">
        <f t="shared" ca="1" si="100"/>
        <v>16407</v>
      </c>
      <c r="W264" s="72">
        <f t="shared" si="101"/>
        <v>269189649</v>
      </c>
      <c r="Y264" s="110">
        <f t="shared" si="102"/>
        <v>7.5375556762911478</v>
      </c>
      <c r="Z264" s="111">
        <f t="shared" si="103"/>
        <v>-33.434873413756534</v>
      </c>
      <c r="AA264" s="72">
        <f t="shared" si="104"/>
        <v>146.56512658624348</v>
      </c>
      <c r="AB264" s="110">
        <f t="shared" ca="1" si="105"/>
        <v>-10.328597565695086</v>
      </c>
      <c r="AC264" s="111">
        <f t="shared" ca="1" si="106"/>
        <v>-46.663513058316703</v>
      </c>
      <c r="AD264" s="72">
        <f t="shared" ca="1" si="107"/>
        <v>133.33648694168329</v>
      </c>
    </row>
    <row r="265" spans="1:30">
      <c r="A265" s="118">
        <v>16501.5</v>
      </c>
      <c r="B265" s="101">
        <f t="shared" ca="1" si="81"/>
        <v>846.20999339608807</v>
      </c>
      <c r="C265" s="102">
        <f t="shared" ca="1" si="82"/>
        <v>1.5696145867533517</v>
      </c>
      <c r="D265" s="102">
        <f t="shared" si="83"/>
        <v>21.951528527850765</v>
      </c>
      <c r="E265" s="103">
        <f t="shared" si="84"/>
        <v>1.5252256414931555</v>
      </c>
      <c r="F265" s="101">
        <f t="shared" si="85"/>
        <v>1244.1841886052241</v>
      </c>
      <c r="G265" s="104">
        <f t="shared" si="86"/>
        <v>1.5699925871904035</v>
      </c>
      <c r="H265" s="113">
        <f t="shared" si="87"/>
        <v>1.8489833757260534</v>
      </c>
      <c r="I265" s="114">
        <f t="shared" si="88"/>
        <v>0.9993635563295612</v>
      </c>
      <c r="J265" s="101">
        <f t="shared" si="89"/>
        <v>1.0000537483227525</v>
      </c>
      <c r="K265" s="104">
        <f t="shared" si="90"/>
        <v>1.0367826721262656E-2</v>
      </c>
      <c r="L265" s="102">
        <f t="shared" si="91"/>
        <v>1</v>
      </c>
      <c r="M265" s="103">
        <f t="shared" si="92"/>
        <v>5.4433040669673755E-10</v>
      </c>
      <c r="N265" s="101">
        <f t="shared" si="93"/>
        <v>1</v>
      </c>
      <c r="O265" s="104">
        <f t="shared" si="94"/>
        <v>8.7092865071478007E-11</v>
      </c>
      <c r="P265" s="105">
        <f t="shared" ca="1" si="95"/>
        <v>1.3587195308747031</v>
      </c>
      <c r="Q265" s="106">
        <f t="shared" ca="1" si="96"/>
        <v>0.77281791193905658</v>
      </c>
      <c r="R265" s="107">
        <f t="shared" ca="1" si="97"/>
        <v>-18.746214676024284</v>
      </c>
      <c r="S265" s="108">
        <f t="shared" ca="1" si="98"/>
        <v>-80.111171821827895</v>
      </c>
      <c r="T265" s="116">
        <f t="shared" ca="1" si="99"/>
        <v>99.888828178172105</v>
      </c>
      <c r="V265" s="72">
        <f t="shared" ca="1" si="100"/>
        <v>16501.5</v>
      </c>
      <c r="W265" s="72">
        <f t="shared" si="101"/>
        <v>272299502.25</v>
      </c>
      <c r="Y265" s="110">
        <f t="shared" si="102"/>
        <v>7.5228993836230371</v>
      </c>
      <c r="Z265" s="111">
        <f t="shared" si="103"/>
        <v>-33.288667861658034</v>
      </c>
      <c r="AA265" s="72">
        <f t="shared" si="104"/>
        <v>146.71133213834196</v>
      </c>
      <c r="AB265" s="110">
        <f t="shared" ca="1" si="105"/>
        <v>-10.351513712765819</v>
      </c>
      <c r="AC265" s="111">
        <f t="shared" ca="1" si="106"/>
        <v>-46.822503960169847</v>
      </c>
      <c r="AD265" s="72">
        <f t="shared" ca="1" si="107"/>
        <v>133.17749603983015</v>
      </c>
    </row>
    <row r="266" spans="1:30">
      <c r="A266" s="118">
        <v>16596</v>
      </c>
      <c r="B266" s="101">
        <f t="shared" ca="1" si="81"/>
        <v>851.05602151592359</v>
      </c>
      <c r="C266" s="102">
        <f t="shared" ca="1" si="82"/>
        <v>1.5696213157441232</v>
      </c>
      <c r="D266" s="102">
        <f t="shared" si="83"/>
        <v>22.076979349755675</v>
      </c>
      <c r="E266" s="103">
        <f t="shared" si="84"/>
        <v>1.5254847714574029</v>
      </c>
      <c r="F266" s="101">
        <f t="shared" si="85"/>
        <v>1251.3093184471204</v>
      </c>
      <c r="G266" s="104">
        <f t="shared" si="86"/>
        <v>1.5699971637968262</v>
      </c>
      <c r="H266" s="113">
        <f t="shared" si="87"/>
        <v>1.8564810506172513</v>
      </c>
      <c r="I266" s="114">
        <f t="shared" si="88"/>
        <v>1.0019582129776299</v>
      </c>
      <c r="J266" s="101">
        <f t="shared" si="89"/>
        <v>1.0000543656753267</v>
      </c>
      <c r="K266" s="104">
        <f t="shared" si="90"/>
        <v>1.0427196403515341E-2</v>
      </c>
      <c r="L266" s="102">
        <f t="shared" si="91"/>
        <v>1</v>
      </c>
      <c r="M266" s="103">
        <f t="shared" si="92"/>
        <v>5.4744765200370005E-10</v>
      </c>
      <c r="N266" s="101">
        <f t="shared" si="93"/>
        <v>1</v>
      </c>
      <c r="O266" s="104">
        <f t="shared" si="94"/>
        <v>8.7591624320592004E-11</v>
      </c>
      <c r="P266" s="105">
        <f t="shared" ca="1" si="95"/>
        <v>1.362294443958014</v>
      </c>
      <c r="Q266" s="106">
        <f t="shared" ca="1" si="96"/>
        <v>0.77583316527111568</v>
      </c>
      <c r="R266" s="107">
        <f t="shared" ca="1" si="97"/>
        <v>-18.783595392278215</v>
      </c>
      <c r="S266" s="108">
        <f t="shared" ca="1" si="98"/>
        <v>-80.124472578494348</v>
      </c>
      <c r="T266" s="116">
        <f t="shared" ca="1" si="99"/>
        <v>99.875527421505652</v>
      </c>
      <c r="V266" s="72">
        <f t="shared" ca="1" si="100"/>
        <v>16596</v>
      </c>
      <c r="W266" s="72">
        <f t="shared" si="101"/>
        <v>275427216</v>
      </c>
      <c r="Y266" s="110">
        <f t="shared" si="102"/>
        <v>7.508444290205146</v>
      </c>
      <c r="Z266" s="111">
        <f t="shared" si="103"/>
        <v>-33.143668838579067</v>
      </c>
      <c r="AA266" s="72">
        <f t="shared" si="104"/>
        <v>146.85633116142094</v>
      </c>
      <c r="AB266" s="110">
        <f t="shared" ca="1" si="105"/>
        <v>-10.37443933560186</v>
      </c>
      <c r="AC266" s="111">
        <f t="shared" ca="1" si="106"/>
        <v>-46.980803739915316</v>
      </c>
      <c r="AD266" s="72">
        <f t="shared" ca="1" si="107"/>
        <v>133.0191962600847</v>
      </c>
    </row>
    <row r="267" spans="1:30">
      <c r="A267" s="118">
        <v>16692.5</v>
      </c>
      <c r="B267" s="101">
        <f t="shared" ca="1" si="81"/>
        <v>856.004611116761</v>
      </c>
      <c r="C267" s="102">
        <f t="shared" ca="1" si="82"/>
        <v>1.5696281085230919</v>
      </c>
      <c r="D267" s="102">
        <f t="shared" si="83"/>
        <v>22.205086727867332</v>
      </c>
      <c r="E267" s="103">
        <f t="shared" si="84"/>
        <v>1.5257463640443301</v>
      </c>
      <c r="F267" s="101">
        <f t="shared" si="85"/>
        <v>1258.5852447145248</v>
      </c>
      <c r="G267" s="104">
        <f t="shared" si="86"/>
        <v>1.5700017837876463</v>
      </c>
      <c r="H267" s="113">
        <f t="shared" si="87"/>
        <v>1.8641501994093717</v>
      </c>
      <c r="I267" s="114">
        <f t="shared" si="88"/>
        <v>1.0045862260297549</v>
      </c>
      <c r="J267" s="101">
        <f t="shared" si="89"/>
        <v>1.0000549997312027</v>
      </c>
      <c r="K267" s="104">
        <f t="shared" si="90"/>
        <v>1.0487822511117302E-2</v>
      </c>
      <c r="L267" s="102">
        <f t="shared" si="91"/>
        <v>1</v>
      </c>
      <c r="M267" s="103">
        <f t="shared" si="92"/>
        <v>5.5063087075631257E-10</v>
      </c>
      <c r="N267" s="101">
        <f t="shared" si="93"/>
        <v>1</v>
      </c>
      <c r="O267" s="104">
        <f t="shared" si="94"/>
        <v>8.8100939321010007E-11</v>
      </c>
      <c r="P267" s="105">
        <f t="shared" ca="1" si="95"/>
        <v>1.3659564187603486</v>
      </c>
      <c r="Q267" s="106">
        <f t="shared" ca="1" si="96"/>
        <v>0.77889686558548676</v>
      </c>
      <c r="R267" s="107">
        <f t="shared" ca="1" si="97"/>
        <v>-18.821572239443331</v>
      </c>
      <c r="S267" s="108">
        <f t="shared" ca="1" si="98"/>
        <v>-80.138574992124134</v>
      </c>
      <c r="T267" s="116">
        <f t="shared" ca="1" si="99"/>
        <v>99.861425007875866</v>
      </c>
      <c r="V267" s="72">
        <f t="shared" ca="1" si="100"/>
        <v>16692.5</v>
      </c>
      <c r="W267" s="72">
        <f t="shared" si="101"/>
        <v>278639556.25</v>
      </c>
      <c r="Y267" s="110">
        <f t="shared" si="102"/>
        <v>7.4938872598424888</v>
      </c>
      <c r="Z267" s="111">
        <f t="shared" si="103"/>
        <v>-32.996833107935288</v>
      </c>
      <c r="AA267" s="72">
        <f t="shared" si="104"/>
        <v>147.00316689206471</v>
      </c>
      <c r="AB267" s="110">
        <f t="shared" ca="1" si="105"/>
        <v>-10.397859152404314</v>
      </c>
      <c r="AC267" s="111">
        <f t="shared" ca="1" si="106"/>
        <v>-47.141741884188804</v>
      </c>
      <c r="AD267" s="72">
        <f t="shared" ca="1" si="107"/>
        <v>132.8582581158112</v>
      </c>
    </row>
    <row r="268" spans="1:30">
      <c r="A268" s="118">
        <v>16789</v>
      </c>
      <c r="B268" s="101">
        <f t="shared" ca="1" si="81"/>
        <v>860.95320075664199</v>
      </c>
      <c r="C268" s="102">
        <f t="shared" ca="1" si="82"/>
        <v>1.5696348232149464</v>
      </c>
      <c r="D268" s="102">
        <f t="shared" si="83"/>
        <v>22.333195608055771</v>
      </c>
      <c r="E268" s="103">
        <f t="shared" si="84"/>
        <v>1.5260049555257953</v>
      </c>
      <c r="F268" s="101">
        <f t="shared" si="85"/>
        <v>1265.8611710084838</v>
      </c>
      <c r="G268" s="104">
        <f t="shared" si="86"/>
        <v>1.5700063506688309</v>
      </c>
      <c r="H268" s="113">
        <f t="shared" si="87"/>
        <v>1.8718321173163848</v>
      </c>
      <c r="I268" s="114">
        <f t="shared" si="88"/>
        <v>1.0071926864570415</v>
      </c>
      <c r="J268" s="101">
        <f t="shared" si="89"/>
        <v>1.0000556374628011</v>
      </c>
      <c r="K268" s="104">
        <f t="shared" si="90"/>
        <v>1.0548448541620027E-2</v>
      </c>
      <c r="L268" s="102">
        <f t="shared" si="91"/>
        <v>1</v>
      </c>
      <c r="M268" s="103">
        <f t="shared" si="92"/>
        <v>5.5381408950892509E-10</v>
      </c>
      <c r="N268" s="101">
        <f t="shared" si="93"/>
        <v>1</v>
      </c>
      <c r="O268" s="104">
        <f t="shared" si="94"/>
        <v>8.861025432142801E-11</v>
      </c>
      <c r="P268" s="105">
        <f t="shared" ca="1" si="95"/>
        <v>1.3696298246629288</v>
      </c>
      <c r="Q268" s="106">
        <f t="shared" ca="1" si="96"/>
        <v>0.78194511273864487</v>
      </c>
      <c r="R268" s="107">
        <f t="shared" ca="1" si="97"/>
        <v>-18.859354890519946</v>
      </c>
      <c r="S268" s="108">
        <f t="shared" ca="1" si="98"/>
        <v>-80.153191308516796</v>
      </c>
      <c r="T268" s="116">
        <f t="shared" ca="1" si="99"/>
        <v>99.846808691483204</v>
      </c>
      <c r="V268" s="72">
        <f t="shared" ca="1" si="100"/>
        <v>16789</v>
      </c>
      <c r="W268" s="72">
        <f t="shared" si="101"/>
        <v>281870521</v>
      </c>
      <c r="Y268" s="110">
        <f t="shared" si="102"/>
        <v>7.4795327295900567</v>
      </c>
      <c r="Z268" s="111">
        <f t="shared" si="103"/>
        <v>-32.851229204358177</v>
      </c>
      <c r="AA268" s="72">
        <f t="shared" si="104"/>
        <v>147.14877079564184</v>
      </c>
      <c r="AB268" s="110">
        <f t="shared" ca="1" si="105"/>
        <v>-10.421287273228499</v>
      </c>
      <c r="AC268" s="111">
        <f t="shared" ca="1" si="106"/>
        <v>-47.301962104158612</v>
      </c>
      <c r="AD268" s="72">
        <f t="shared" ca="1" si="107"/>
        <v>132.6980378958414</v>
      </c>
    </row>
    <row r="269" spans="1:30">
      <c r="A269" s="118">
        <v>16885.5</v>
      </c>
      <c r="B269" s="101">
        <f t="shared" ca="1" si="81"/>
        <v>865.90179043489729</v>
      </c>
      <c r="C269" s="102">
        <f t="shared" ca="1" si="82"/>
        <v>1.569641461158479</v>
      </c>
      <c r="D269" s="102">
        <f t="shared" si="83"/>
        <v>22.461305964619545</v>
      </c>
      <c r="E269" s="103">
        <f t="shared" si="84"/>
        <v>1.5262605972182512</v>
      </c>
      <c r="F269" s="101">
        <f t="shared" si="85"/>
        <v>1273.1370973285423</v>
      </c>
      <c r="G269" s="104">
        <f t="shared" si="86"/>
        <v>1.5700108653509379</v>
      </c>
      <c r="H269" s="113">
        <f t="shared" si="87"/>
        <v>1.8795266477702179</v>
      </c>
      <c r="I269" s="114">
        <f t="shared" si="88"/>
        <v>1.0097778233272183</v>
      </c>
      <c r="J269" s="101">
        <f t="shared" si="89"/>
        <v>1.0000562788701151</v>
      </c>
      <c r="K269" s="104">
        <f t="shared" si="90"/>
        <v>1.0609074494578003E-2</v>
      </c>
      <c r="L269" s="102">
        <f t="shared" si="91"/>
        <v>1</v>
      </c>
      <c r="M269" s="103">
        <f t="shared" si="92"/>
        <v>5.5699730826153751E-10</v>
      </c>
      <c r="N269" s="101">
        <f t="shared" si="93"/>
        <v>1</v>
      </c>
      <c r="O269" s="104">
        <f t="shared" si="94"/>
        <v>8.9119569321846E-11</v>
      </c>
      <c r="P269" s="105">
        <f t="shared" ca="1" si="95"/>
        <v>1.3733145712509587</v>
      </c>
      <c r="Q269" s="106">
        <f t="shared" ca="1" si="96"/>
        <v>0.78497798312742606</v>
      </c>
      <c r="R269" s="107">
        <f t="shared" ca="1" si="97"/>
        <v>-18.89694614082449</v>
      </c>
      <c r="S269" s="108">
        <f t="shared" ca="1" si="98"/>
        <v>-80.168309968911231</v>
      </c>
      <c r="T269" s="116">
        <f t="shared" ca="1" si="99"/>
        <v>99.831690031088769</v>
      </c>
      <c r="V269" s="72">
        <f t="shared" ca="1" si="100"/>
        <v>16885.5</v>
      </c>
      <c r="W269" s="72">
        <f t="shared" si="101"/>
        <v>285120110.25</v>
      </c>
      <c r="Y269" s="110">
        <f t="shared" si="102"/>
        <v>7.4653771240359337</v>
      </c>
      <c r="Z269" s="111">
        <f t="shared" si="103"/>
        <v>-32.706844055379221</v>
      </c>
      <c r="AA269" s="72">
        <f t="shared" si="104"/>
        <v>147.29315594462076</v>
      </c>
      <c r="AB269" s="110">
        <f t="shared" ca="1" si="105"/>
        <v>-10.444722917978918</v>
      </c>
      <c r="AC269" s="111">
        <f t="shared" ca="1" si="106"/>
        <v>-47.461465913531995</v>
      </c>
      <c r="AD269" s="72">
        <f t="shared" ca="1" si="107"/>
        <v>132.53853408646802</v>
      </c>
    </row>
    <row r="270" spans="1:30">
      <c r="A270" s="118">
        <v>16982</v>
      </c>
      <c r="B270" s="101">
        <f t="shared" ref="B270:B333" ca="1" si="108">SQRT(1+(A270/Pole1)^2)</f>
        <v>870.85038015087241</v>
      </c>
      <c r="C270" s="102">
        <f t="shared" ref="C270:C333" ca="1" si="109">ATAN(A270/Pole1)</f>
        <v>1.5696480236620514</v>
      </c>
      <c r="D270" s="102">
        <f t="shared" ref="D270:D333" si="110">SQRT(1+(A270/Zero1)^2)</f>
        <v>22.589417772439941</v>
      </c>
      <c r="E270" s="103">
        <f t="shared" ref="E270:E333" si="111">ATAN(A270/Zero1)</f>
        <v>1.5265133392755856</v>
      </c>
      <c r="F270" s="101">
        <f t="shared" ref="F270:F333" si="112">SQRT(1+(A270/Pole2)^2)</f>
        <v>1280.4130236742556</v>
      </c>
      <c r="G270" s="104">
        <f t="shared" ref="G270:G333" si="113">ATAN(A270/Pole2)</f>
        <v>1.5700153287238288</v>
      </c>
      <c r="H270" s="113">
        <f t="shared" ref="H270:H333" si="114">SQRT(1+(A270/Zero2)^2)</f>
        <v>1.8872336365012257</v>
      </c>
      <c r="I270" s="114">
        <f t="shared" ref="I270:I333" si="115">ATAN(A270/Zero2)</f>
        <v>1.0123418631154322</v>
      </c>
      <c r="J270" s="101">
        <f t="shared" ref="J270:J333" si="116">SQRT(1+(A270/pole4)^2)</f>
        <v>1.0000569239531372</v>
      </c>
      <c r="K270" s="104">
        <f t="shared" ref="K270:K333" si="117">ATAN(A270/pole4)</f>
        <v>1.0669700369545716E-2</v>
      </c>
      <c r="L270" s="102">
        <f t="shared" ref="L270:L333" si="118">SQRT(1+(A270/Zerofeed)^2)</f>
        <v>1</v>
      </c>
      <c r="M270" s="103">
        <f t="shared" ref="M270:M333" si="119">ATAN(A270/Zerofeed)</f>
        <v>5.6018052701415003E-10</v>
      </c>
      <c r="N270" s="101">
        <f t="shared" ref="N270:N333" si="120">SQRT(1+(A270/Polefeed)^2)</f>
        <v>1</v>
      </c>
      <c r="O270" s="104">
        <f t="shared" ref="O270:O333" si="121">ATAN(A270/Polefeed)</f>
        <v>8.9628884322264003E-11</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-18.934348721566781</v>
      </c>
      <c r="S270" s="108">
        <f t="shared" ref="S270:S333" ca="1" si="125">((E270+I270+M270)-(C270+G270+Q270+K270+O270))*radconv</f>
        <v>-80.183919637710616</v>
      </c>
      <c r="T270" s="116">
        <f t="shared" ref="T270:T333" ca="1" si="126">IF(S270&gt;0,S270,S270+180)</f>
        <v>99.816080362289384</v>
      </c>
      <c r="V270" s="72">
        <f t="shared" ref="V270:V333" ca="1" si="127">IF(R270&lt;0,A270,1000000000)</f>
        <v>16982</v>
      </c>
      <c r="W270" s="72">
        <f t="shared" ref="W270:W333" si="128">A270^2</f>
        <v>288388324</v>
      </c>
      <c r="Y270" s="110">
        <f t="shared" ref="Y270:Y333" si="129">20*LOG10(((H270*L270)/(F270*J270*N270))*Aea)</f>
        <v>7.4514169430041672</v>
      </c>
      <c r="Z270" s="111">
        <f t="shared" ref="Z270:Z333" si="130">(I270+M270-(G270+K270+O270))*radconv</f>
        <v>-32.563664735888125</v>
      </c>
      <c r="AA270" s="72">
        <f t="shared" ref="AA270:AA333" si="131">IF(Z270&gt;0,Z270,Z270+180)</f>
        <v>147.43633526411188</v>
      </c>
      <c r="AB270" s="110">
        <f t="shared" ref="AB270:AB333" ca="1" si="132">20*LOG10((D270/(B270*P270))*Acs*Am)</f>
        <v>-10.468165317689442</v>
      </c>
      <c r="AC270" s="111">
        <f t="shared" ref="AC270:AC333" ca="1" si="133">(E270-(C270+Q270))*radconv</f>
        <v>-47.620254901822527</v>
      </c>
      <c r="AD270" s="72">
        <f t="shared" ref="AD270:AD333" ca="1" si="134">IF(AC270&gt;0,AC270,AC270+180)</f>
        <v>132.37974509817747</v>
      </c>
    </row>
    <row r="271" spans="1:30">
      <c r="A271" s="118">
        <v>17081</v>
      </c>
      <c r="B271" s="101">
        <f t="shared" ca="1" si="108"/>
        <v>875.92717171148922</v>
      </c>
      <c r="C271" s="102">
        <f t="shared" ca="1" si="109"/>
        <v>1.5696546791219825</v>
      </c>
      <c r="D271" s="102">
        <f t="shared" si="110"/>
        <v>22.720850021420485</v>
      </c>
      <c r="E271" s="103">
        <f t="shared" si="111"/>
        <v>1.5267696671443276</v>
      </c>
      <c r="F271" s="101">
        <f t="shared" si="112"/>
        <v>1287.8774455473576</v>
      </c>
      <c r="G271" s="104">
        <f t="shared" si="113"/>
        <v>1.5700198553193365</v>
      </c>
      <c r="H271" s="113">
        <f t="shared" si="114"/>
        <v>1.8951530754258954</v>
      </c>
      <c r="I271" s="114">
        <f t="shared" si="115"/>
        <v>1.0149506394798247</v>
      </c>
      <c r="J271" s="101">
        <f t="shared" si="116"/>
        <v>1.0000575895679276</v>
      </c>
      <c r="K271" s="104">
        <f t="shared" si="117"/>
        <v>1.0731896781521793E-2</v>
      </c>
      <c r="L271" s="102">
        <f t="shared" si="118"/>
        <v>1</v>
      </c>
      <c r="M271" s="103">
        <f t="shared" si="119"/>
        <v>5.6344621257382503E-10</v>
      </c>
      <c r="N271" s="101">
        <f t="shared" si="120"/>
        <v>1</v>
      </c>
      <c r="O271" s="104">
        <f t="shared" si="121"/>
        <v>9.0151394011812007E-11</v>
      </c>
      <c r="P271" s="105">
        <f t="shared" ca="1" si="122"/>
        <v>1.3808139162277382</v>
      </c>
      <c r="Q271" s="106">
        <f t="shared" ca="1" si="123"/>
        <v>0.79107547952769153</v>
      </c>
      <c r="R271" s="107">
        <f t="shared" ca="1" si="124"/>
        <v>-18.972527013480402</v>
      </c>
      <c r="S271" s="108">
        <f t="shared" ca="1" si="125"/>
        <v>-80.200432305428038</v>
      </c>
      <c r="T271" s="116">
        <f t="shared" ca="1" si="126"/>
        <v>99.799567694571962</v>
      </c>
      <c r="V271" s="72">
        <f t="shared" ca="1" si="127"/>
        <v>17081</v>
      </c>
      <c r="W271" s="72">
        <f t="shared" si="128"/>
        <v>291760561</v>
      </c>
      <c r="Y271" s="110">
        <f t="shared" si="129"/>
        <v>7.4372945922359737</v>
      </c>
      <c r="Z271" s="111">
        <f t="shared" si="130"/>
        <v>-32.418015806916593</v>
      </c>
      <c r="AA271" s="72">
        <f t="shared" si="131"/>
        <v>147.5819841930834</v>
      </c>
      <c r="AB271" s="110">
        <f t="shared" ca="1" si="132"/>
        <v>-10.492221258834869</v>
      </c>
      <c r="AC271" s="111">
        <f t="shared" ca="1" si="133"/>
        <v>-47.782416498511459</v>
      </c>
      <c r="AD271" s="72">
        <f t="shared" ca="1" si="134"/>
        <v>132.21758350148855</v>
      </c>
    </row>
    <row r="272" spans="1:30">
      <c r="A272" s="118">
        <v>17180</v>
      </c>
      <c r="B272" s="101">
        <f t="shared" ca="1" si="108"/>
        <v>881.00396331045829</v>
      </c>
      <c r="C272" s="102">
        <f t="shared" ca="1" si="109"/>
        <v>1.5696612578776437</v>
      </c>
      <c r="D272" s="102">
        <f t="shared" si="110"/>
        <v>22.852283746079259</v>
      </c>
      <c r="E272" s="103">
        <f t="shared" si="111"/>
        <v>1.5270230465166748</v>
      </c>
      <c r="F272" s="101">
        <f t="shared" si="112"/>
        <v>1295.341867446544</v>
      </c>
      <c r="G272" s="104">
        <f t="shared" si="113"/>
        <v>1.5700243297457306</v>
      </c>
      <c r="H272" s="113">
        <f t="shared" si="114"/>
        <v>1.9030853048240752</v>
      </c>
      <c r="I272" s="114">
        <f t="shared" si="115"/>
        <v>1.0175376861034662</v>
      </c>
      <c r="J272" s="101">
        <f t="shared" si="116"/>
        <v>1.0000582590513289</v>
      </c>
      <c r="K272" s="104">
        <f t="shared" si="117"/>
        <v>1.0794093110464391E-2</v>
      </c>
      <c r="L272" s="102">
        <f t="shared" si="118"/>
        <v>1</v>
      </c>
      <c r="M272" s="103">
        <f t="shared" si="119"/>
        <v>5.6671189813350002E-10</v>
      </c>
      <c r="N272" s="101">
        <f t="shared" si="120"/>
        <v>1</v>
      </c>
      <c r="O272" s="104">
        <f t="shared" si="121"/>
        <v>9.0673903701360011E-11</v>
      </c>
      <c r="P272" s="105">
        <f t="shared" ca="1" si="122"/>
        <v>1.3846289160449019</v>
      </c>
      <c r="Q272" s="106">
        <f t="shared" ca="1" si="123"/>
        <v>0.79413946635725008</v>
      </c>
      <c r="R272" s="107">
        <f t="shared" ca="1" si="124"/>
        <v>-19.010512357575401</v>
      </c>
      <c r="S272" s="108">
        <f t="shared" ca="1" si="125"/>
        <v>-80.217438285349814</v>
      </c>
      <c r="T272" s="116">
        <f t="shared" ca="1" si="126"/>
        <v>99.782561714650186</v>
      </c>
      <c r="V272" s="72">
        <f t="shared" ca="1" si="127"/>
        <v>17180</v>
      </c>
      <c r="W272" s="72">
        <f t="shared" si="128"/>
        <v>295152400</v>
      </c>
      <c r="Y272" s="110">
        <f t="shared" si="129"/>
        <v>7.4233706947888303</v>
      </c>
      <c r="Z272" s="111">
        <f t="shared" si="130"/>
        <v>-32.273608906553932</v>
      </c>
      <c r="AA272" s="72">
        <f t="shared" si="131"/>
        <v>147.72639109344607</v>
      </c>
      <c r="AB272" s="110">
        <f t="shared" ca="1" si="132"/>
        <v>-10.516282705482725</v>
      </c>
      <c r="AC272" s="111">
        <f t="shared" ca="1" si="133"/>
        <v>-47.94382937879594</v>
      </c>
      <c r="AD272" s="72">
        <f t="shared" ca="1" si="134"/>
        <v>132.05617062120405</v>
      </c>
    </row>
    <row r="273" spans="1:30">
      <c r="A273" s="118">
        <v>17279</v>
      </c>
      <c r="B273" s="101">
        <f t="shared" ca="1" si="108"/>
        <v>886.08075494712034</v>
      </c>
      <c r="C273" s="102">
        <f t="shared" ca="1" si="109"/>
        <v>1.5696677612474637</v>
      </c>
      <c r="D273" s="102">
        <f t="shared" si="110"/>
        <v>22.983718921100003</v>
      </c>
      <c r="E273" s="103">
        <f t="shared" si="111"/>
        <v>1.5272735279438097</v>
      </c>
      <c r="F273" s="101">
        <f t="shared" si="112"/>
        <v>1302.8062893713668</v>
      </c>
      <c r="G273" s="104">
        <f t="shared" si="113"/>
        <v>1.5700287528997188</v>
      </c>
      <c r="H273" s="113">
        <f t="shared" si="114"/>
        <v>1.9110301654251778</v>
      </c>
      <c r="I273" s="114">
        <f t="shared" si="115"/>
        <v>1.0201032391560922</v>
      </c>
      <c r="J273" s="101">
        <f t="shared" si="116"/>
        <v>1.000058932403334</v>
      </c>
      <c r="K273" s="104">
        <f t="shared" si="117"/>
        <v>1.0856289355892479E-2</v>
      </c>
      <c r="L273" s="102">
        <f t="shared" si="118"/>
        <v>1</v>
      </c>
      <c r="M273" s="103">
        <f t="shared" si="119"/>
        <v>5.6997758369317501E-10</v>
      </c>
      <c r="N273" s="101">
        <f t="shared" si="120"/>
        <v>1</v>
      </c>
      <c r="O273" s="104">
        <f t="shared" si="121"/>
        <v>9.1196413390908002E-11</v>
      </c>
      <c r="P273" s="105">
        <f t="shared" ca="1" si="122"/>
        <v>1.3884554736409858</v>
      </c>
      <c r="Q273" s="106">
        <f t="shared" ca="1" si="123"/>
        <v>0.79718759703283404</v>
      </c>
      <c r="R273" s="107">
        <f t="shared" ca="1" si="124"/>
        <v>-19.048307503864663</v>
      </c>
      <c r="S273" s="108">
        <f t="shared" ca="1" si="125"/>
        <v>-80.234926043737943</v>
      </c>
      <c r="T273" s="116">
        <f t="shared" ca="1" si="126"/>
        <v>99.765073956262057</v>
      </c>
      <c r="V273" s="72">
        <f t="shared" ca="1" si="127"/>
        <v>17279</v>
      </c>
      <c r="W273" s="72">
        <f t="shared" si="128"/>
        <v>298563841</v>
      </c>
      <c r="Y273" s="110">
        <f t="shared" si="129"/>
        <v>7.4096417063710485</v>
      </c>
      <c r="Z273" s="111">
        <f t="shared" si="130"/>
        <v>-32.130430554621014</v>
      </c>
      <c r="AA273" s="72">
        <f t="shared" si="131"/>
        <v>147.869569445379</v>
      </c>
      <c r="AB273" s="110">
        <f t="shared" ca="1" si="132"/>
        <v>-10.540348863354208</v>
      </c>
      <c r="AC273" s="111">
        <f t="shared" ca="1" si="133"/>
        <v>-48.1044954891169</v>
      </c>
      <c r="AD273" s="72">
        <f t="shared" ca="1" si="134"/>
        <v>131.89550451088309</v>
      </c>
    </row>
    <row r="274" spans="1:30">
      <c r="A274" s="118">
        <v>17378</v>
      </c>
      <c r="B274" s="101">
        <f t="shared" ca="1" si="108"/>
        <v>891.15754662083123</v>
      </c>
      <c r="C274" s="102">
        <f t="shared" ca="1" si="109"/>
        <v>1.5696741905198273</v>
      </c>
      <c r="D274" s="102">
        <f t="shared" si="110"/>
        <v>23.115155521741993</v>
      </c>
      <c r="E274" s="103">
        <f t="shared" si="111"/>
        <v>1.5275211608286183</v>
      </c>
      <c r="F274" s="101">
        <f t="shared" si="112"/>
        <v>1310.2707113213874</v>
      </c>
      <c r="G274" s="104">
        <f t="shared" si="113"/>
        <v>1.5700331256575752</v>
      </c>
      <c r="H274" s="113">
        <f t="shared" si="114"/>
        <v>1.9189875003446861</v>
      </c>
      <c r="I274" s="114">
        <f t="shared" si="115"/>
        <v>1.0226475320313302</v>
      </c>
      <c r="J274" s="101">
        <f t="shared" si="116"/>
        <v>1.0000596096239347</v>
      </c>
      <c r="K274" s="104">
        <f t="shared" si="117"/>
        <v>1.0918485517325025E-2</v>
      </c>
      <c r="L274" s="102">
        <f t="shared" si="118"/>
        <v>1</v>
      </c>
      <c r="M274" s="103">
        <f t="shared" si="119"/>
        <v>5.7324326925285001E-10</v>
      </c>
      <c r="N274" s="101">
        <f t="shared" si="120"/>
        <v>1</v>
      </c>
      <c r="O274" s="104">
        <f t="shared" si="121"/>
        <v>9.1718923080456006E-11</v>
      </c>
      <c r="P274" s="105">
        <f t="shared" ca="1" si="122"/>
        <v>1.3922934951612214</v>
      </c>
      <c r="Q274" s="106">
        <f t="shared" ca="1" si="123"/>
        <v>0.80021995489247688</v>
      </c>
      <c r="R274" s="107">
        <f t="shared" ca="1" si="124"/>
        <v>-19.085915138827886</v>
      </c>
      <c r="S274" s="108">
        <f t="shared" ca="1" si="125"/>
        <v>-80.252884276461415</v>
      </c>
      <c r="T274" s="116">
        <f t="shared" ca="1" si="126"/>
        <v>99.747115723538585</v>
      </c>
      <c r="V274" s="72">
        <f t="shared" ca="1" si="127"/>
        <v>17378</v>
      </c>
      <c r="W274" s="72">
        <f t="shared" si="128"/>
        <v>301994884</v>
      </c>
      <c r="Y274" s="110">
        <f t="shared" si="129"/>
        <v>7.3961041582032365</v>
      </c>
      <c r="Z274" s="111">
        <f t="shared" si="130"/>
        <v>-31.988467428827288</v>
      </c>
      <c r="AA274" s="72">
        <f t="shared" si="131"/>
        <v>148.01153257117272</v>
      </c>
      <c r="AB274" s="110">
        <f t="shared" ca="1" si="132"/>
        <v>-10.564418950149614</v>
      </c>
      <c r="AC274" s="111">
        <f t="shared" ca="1" si="133"/>
        <v>-48.264416847634081</v>
      </c>
      <c r="AD274" s="72">
        <f t="shared" ca="1" si="134"/>
        <v>131.7355831523659</v>
      </c>
    </row>
    <row r="275" spans="1:30">
      <c r="A275" s="118">
        <v>17479.25</v>
      </c>
      <c r="B275" s="101">
        <f t="shared" ca="1" si="108"/>
        <v>896.34971996115519</v>
      </c>
      <c r="C275" s="102">
        <f t="shared" ca="1" si="109"/>
        <v>1.5696806905815177</v>
      </c>
      <c r="D275" s="102">
        <f t="shared" si="110"/>
        <v>23.249580767244961</v>
      </c>
      <c r="E275" s="103">
        <f t="shared" si="111"/>
        <v>1.5277715256636635</v>
      </c>
      <c r="F275" s="101">
        <f t="shared" si="112"/>
        <v>1317.904779250435</v>
      </c>
      <c r="G275" s="104">
        <f t="shared" si="113"/>
        <v>1.5700375465615275</v>
      </c>
      <c r="H275" s="113">
        <f t="shared" si="114"/>
        <v>1.9271384255431427</v>
      </c>
      <c r="I275" s="114">
        <f t="shared" si="115"/>
        <v>1.0252278996538284</v>
      </c>
      <c r="J275" s="101">
        <f t="shared" si="116"/>
        <v>1.0000603062373834</v>
      </c>
      <c r="K275" s="104">
        <f t="shared" si="117"/>
        <v>1.0982095140499011E-2</v>
      </c>
      <c r="L275" s="102">
        <f t="shared" si="118"/>
        <v>1</v>
      </c>
      <c r="M275" s="103">
        <f t="shared" si="119"/>
        <v>5.7658317493888135E-10</v>
      </c>
      <c r="N275" s="101">
        <f t="shared" si="120"/>
        <v>1</v>
      </c>
      <c r="O275" s="104">
        <f t="shared" si="121"/>
        <v>9.2253307990221007E-11</v>
      </c>
      <c r="P275" s="105">
        <f t="shared" ca="1" si="122"/>
        <v>1.3962305051224255</v>
      </c>
      <c r="Q275" s="106">
        <f t="shared" ca="1" si="123"/>
        <v>0.80330500235108326</v>
      </c>
      <c r="R275" s="107">
        <f t="shared" ca="1" si="124"/>
        <v>-19.124186275649137</v>
      </c>
      <c r="S275" s="108">
        <f t="shared" ca="1" si="125"/>
        <v>-80.271725740733729</v>
      </c>
      <c r="T275" s="116">
        <f t="shared" ca="1" si="126"/>
        <v>99.728274259266271</v>
      </c>
      <c r="V275" s="72">
        <f t="shared" ca="1" si="127"/>
        <v>17479.25</v>
      </c>
      <c r="W275" s="72">
        <f t="shared" si="128"/>
        <v>305524180.5625</v>
      </c>
      <c r="Y275" s="110">
        <f t="shared" si="129"/>
        <v>7.3824534166391143</v>
      </c>
      <c r="Z275" s="111">
        <f t="shared" si="130"/>
        <v>-31.844521116223095</v>
      </c>
      <c r="AA275" s="72">
        <f t="shared" si="131"/>
        <v>148.15547888377691</v>
      </c>
      <c r="AB275" s="110">
        <f t="shared" ca="1" si="132"/>
        <v>-10.589039345406746</v>
      </c>
      <c r="AC275" s="111">
        <f t="shared" ca="1" si="133"/>
        <v>-48.427204624510672</v>
      </c>
      <c r="AD275" s="72">
        <f t="shared" ca="1" si="134"/>
        <v>131.57279537548933</v>
      </c>
    </row>
    <row r="276" spans="1:30">
      <c r="A276" s="118">
        <v>17580.5</v>
      </c>
      <c r="B276" s="101">
        <f t="shared" ca="1" si="108"/>
        <v>901.54189333891441</v>
      </c>
      <c r="C276" s="102">
        <f t="shared" ca="1" si="109"/>
        <v>1.5696871157727059</v>
      </c>
      <c r="D276" s="102">
        <f t="shared" si="110"/>
        <v>23.384007453335542</v>
      </c>
      <c r="E276" s="103">
        <f t="shared" si="111"/>
        <v>1.5280190119899235</v>
      </c>
      <c r="F276" s="101">
        <f t="shared" si="112"/>
        <v>1325.5388472049437</v>
      </c>
      <c r="G276" s="104">
        <f t="shared" si="113"/>
        <v>1.5700419165435755</v>
      </c>
      <c r="H276" s="113">
        <f t="shared" si="114"/>
        <v>1.9353020740674323</v>
      </c>
      <c r="I276" s="114">
        <f t="shared" si="115"/>
        <v>1.0277865147599481</v>
      </c>
      <c r="J276" s="101">
        <f t="shared" si="116"/>
        <v>1.0000610068972544</v>
      </c>
      <c r="K276" s="104">
        <f t="shared" si="117"/>
        <v>1.1045704674798387E-2</v>
      </c>
      <c r="L276" s="102">
        <f t="shared" si="118"/>
        <v>1</v>
      </c>
      <c r="M276" s="103">
        <f t="shared" si="119"/>
        <v>5.7992308062491259E-10</v>
      </c>
      <c r="N276" s="101">
        <f t="shared" si="120"/>
        <v>1</v>
      </c>
      <c r="O276" s="104">
        <f t="shared" si="121"/>
        <v>9.2787692899986009E-11</v>
      </c>
      <c r="P276" s="105">
        <f t="shared" ca="1" si="122"/>
        <v>1.4001793098653099</v>
      </c>
      <c r="Q276" s="106">
        <f t="shared" ca="1" si="123"/>
        <v>0.8063737285679512</v>
      </c>
      <c r="R276" s="107">
        <f t="shared" ca="1" si="124"/>
        <v>-19.162266768946829</v>
      </c>
      <c r="S276" s="108">
        <f t="shared" ca="1" si="125"/>
        <v>-80.291036108059444</v>
      </c>
      <c r="T276" s="116">
        <f t="shared" ca="1" si="126"/>
        <v>99.708963891940556</v>
      </c>
      <c r="V276" s="72">
        <f t="shared" ca="1" si="127"/>
        <v>17580.5</v>
      </c>
      <c r="W276" s="72">
        <f t="shared" si="128"/>
        <v>309073980.25</v>
      </c>
      <c r="Y276" s="110">
        <f t="shared" si="129"/>
        <v>7.3689958109632769</v>
      </c>
      <c r="Z276" s="111">
        <f t="shared" si="130"/>
        <v>-31.701818208300274</v>
      </c>
      <c r="AA276" s="72">
        <f t="shared" si="131"/>
        <v>148.29818179169973</v>
      </c>
      <c r="AB276" s="110">
        <f t="shared" ca="1" si="132"/>
        <v>-10.613662233028601</v>
      </c>
      <c r="AC276" s="111">
        <f t="shared" ca="1" si="133"/>
        <v>-48.589217899759234</v>
      </c>
      <c r="AD276" s="72">
        <f t="shared" ca="1" si="134"/>
        <v>131.41078210024077</v>
      </c>
    </row>
    <row r="277" spans="1:30">
      <c r="A277" s="118">
        <v>17681.75</v>
      </c>
      <c r="B277" s="101">
        <f t="shared" ca="1" si="108"/>
        <v>906.73406675346598</v>
      </c>
      <c r="C277" s="102">
        <f t="shared" ca="1" si="109"/>
        <v>1.5696934673795699</v>
      </c>
      <c r="D277" s="102">
        <f t="shared" si="110"/>
        <v>23.518435555311406</v>
      </c>
      <c r="E277" s="103">
        <f t="shared" si="111"/>
        <v>1.5282636691362843</v>
      </c>
      <c r="F277" s="101">
        <f t="shared" si="112"/>
        <v>1333.1729151844761</v>
      </c>
      <c r="G277" s="104">
        <f t="shared" si="113"/>
        <v>1.5700462364784922</v>
      </c>
      <c r="H277" s="113">
        <f t="shared" si="114"/>
        <v>1.9434782855832355</v>
      </c>
      <c r="I277" s="114">
        <f t="shared" si="115"/>
        <v>1.0303236181758553</v>
      </c>
      <c r="J277" s="101">
        <f t="shared" si="116"/>
        <v>1.0000617116035397</v>
      </c>
      <c r="K277" s="104">
        <f t="shared" si="117"/>
        <v>1.1109314119708594E-2</v>
      </c>
      <c r="L277" s="102">
        <f t="shared" si="118"/>
        <v>1</v>
      </c>
      <c r="M277" s="103">
        <f t="shared" si="119"/>
        <v>5.8326298631094382E-10</v>
      </c>
      <c r="N277" s="101">
        <f t="shared" si="120"/>
        <v>1</v>
      </c>
      <c r="O277" s="104">
        <f t="shared" si="121"/>
        <v>9.332207780975101E-11</v>
      </c>
      <c r="P277" s="105">
        <f t="shared" ca="1" si="122"/>
        <v>1.4041398114349533</v>
      </c>
      <c r="Q277" s="106">
        <f t="shared" ca="1" si="123"/>
        <v>0.80942622300702416</v>
      </c>
      <c r="R277" s="107">
        <f t="shared" ca="1" si="124"/>
        <v>-19.200159297618356</v>
      </c>
      <c r="S277" s="108">
        <f t="shared" ca="1" si="125"/>
        <v>-80.310804003468959</v>
      </c>
      <c r="T277" s="116">
        <f t="shared" ca="1" si="126"/>
        <v>99.689195996531041</v>
      </c>
      <c r="V277" s="72">
        <f t="shared" ca="1" si="127"/>
        <v>17681.75</v>
      </c>
      <c r="W277" s="72">
        <f t="shared" si="128"/>
        <v>312644283.0625</v>
      </c>
      <c r="Y277" s="110">
        <f t="shared" si="129"/>
        <v>7.3557278636752912</v>
      </c>
      <c r="Z277" s="111">
        <f t="shared" si="130"/>
        <v>-31.560344956827162</v>
      </c>
      <c r="AA277" s="72">
        <f t="shared" si="131"/>
        <v>148.43965504317285</v>
      </c>
      <c r="AB277" s="110">
        <f t="shared" ca="1" si="132"/>
        <v>-10.638286814412144</v>
      </c>
      <c r="AC277" s="111">
        <f t="shared" ca="1" si="133"/>
        <v>-48.750459046641765</v>
      </c>
      <c r="AD277" s="72">
        <f t="shared" ca="1" si="134"/>
        <v>131.24954095335823</v>
      </c>
    </row>
    <row r="278" spans="1:30">
      <c r="A278" s="118">
        <v>17783</v>
      </c>
      <c r="B278" s="101">
        <f t="shared" ca="1" si="108"/>
        <v>911.926240204181</v>
      </c>
      <c r="C278" s="102">
        <f t="shared" ca="1" si="109"/>
        <v>1.5696997466589957</v>
      </c>
      <c r="D278" s="102">
        <f t="shared" si="110"/>
        <v>23.652865049031522</v>
      </c>
      <c r="E278" s="103">
        <f t="shared" si="111"/>
        <v>1.5285055453115748</v>
      </c>
      <c r="F278" s="101">
        <f t="shared" si="112"/>
        <v>1340.8069831886044</v>
      </c>
      <c r="G278" s="104">
        <f t="shared" si="113"/>
        <v>1.5700505072211279</v>
      </c>
      <c r="H278" s="113">
        <f t="shared" si="114"/>
        <v>1.9516669021983355</v>
      </c>
      <c r="I278" s="114">
        <f t="shared" si="115"/>
        <v>1.0328394478030472</v>
      </c>
      <c r="J278" s="101">
        <f t="shared" si="116"/>
        <v>1.0000624203562303</v>
      </c>
      <c r="K278" s="104">
        <f t="shared" si="117"/>
        <v>1.1172923474715071E-2</v>
      </c>
      <c r="L278" s="102">
        <f t="shared" si="118"/>
        <v>1</v>
      </c>
      <c r="M278" s="103">
        <f t="shared" si="119"/>
        <v>5.8660289199697506E-10</v>
      </c>
      <c r="N278" s="101">
        <f t="shared" si="120"/>
        <v>1</v>
      </c>
      <c r="O278" s="104">
        <f t="shared" si="121"/>
        <v>9.3856462719516011E-11</v>
      </c>
      <c r="P278" s="105">
        <f t="shared" ca="1" si="122"/>
        <v>1.4081119126943136</v>
      </c>
      <c r="Q278" s="106">
        <f t="shared" ca="1" si="123"/>
        <v>0.81246257519924181</v>
      </c>
      <c r="R278" s="107">
        <f t="shared" ca="1" si="124"/>
        <v>-19.237866478469325</v>
      </c>
      <c r="S278" s="108">
        <f t="shared" ca="1" si="125"/>
        <v>-80.331018284757008</v>
      </c>
      <c r="T278" s="116">
        <f t="shared" ca="1" si="126"/>
        <v>99.668981715242992</v>
      </c>
      <c r="V278" s="72">
        <f t="shared" ca="1" si="127"/>
        <v>17783</v>
      </c>
      <c r="W278" s="72">
        <f t="shared" si="128"/>
        <v>316235089</v>
      </c>
      <c r="Y278" s="110">
        <f t="shared" si="129"/>
        <v>7.3426461720443221</v>
      </c>
      <c r="Z278" s="111">
        <f t="shared" si="130"/>
        <v>-31.420087780001928</v>
      </c>
      <c r="AA278" s="72">
        <f t="shared" si="131"/>
        <v>148.57991221999808</v>
      </c>
      <c r="AB278" s="110">
        <f t="shared" ca="1" si="132"/>
        <v>-10.662912303632144</v>
      </c>
      <c r="AC278" s="111">
        <f t="shared" ca="1" si="133"/>
        <v>-48.910930504755058</v>
      </c>
      <c r="AD278" s="72">
        <f t="shared" ca="1" si="134"/>
        <v>131.08906949524493</v>
      </c>
    </row>
    <row r="279" spans="1:30">
      <c r="A279" s="118">
        <v>17886.5</v>
      </c>
      <c r="B279" s="101">
        <f t="shared" ca="1" si="108"/>
        <v>917.2337953238731</v>
      </c>
      <c r="C279" s="102">
        <f t="shared" ca="1" si="109"/>
        <v>1.5697060920006707</v>
      </c>
      <c r="D279" s="102">
        <f t="shared" si="110"/>
        <v>23.790283278748223</v>
      </c>
      <c r="E279" s="103">
        <f t="shared" si="111"/>
        <v>1.5287499712135013</v>
      </c>
      <c r="F279" s="101">
        <f t="shared" si="112"/>
        <v>1348.6106971733673</v>
      </c>
      <c r="G279" s="104">
        <f t="shared" si="113"/>
        <v>1.5700548228948208</v>
      </c>
      <c r="H279" s="113">
        <f t="shared" si="114"/>
        <v>1.9600501478479588</v>
      </c>
      <c r="I279" s="114">
        <f t="shared" si="115"/>
        <v>1.0353894412675351</v>
      </c>
      <c r="J279" s="101">
        <f t="shared" si="116"/>
        <v>1.0000631490412566</v>
      </c>
      <c r="K279" s="104">
        <f t="shared" si="117"/>
        <v>1.1237946277485424E-2</v>
      </c>
      <c r="L279" s="102">
        <f t="shared" si="118"/>
        <v>1</v>
      </c>
      <c r="M279" s="103">
        <f t="shared" si="119"/>
        <v>5.9001701780936255E-10</v>
      </c>
      <c r="N279" s="101">
        <f t="shared" si="120"/>
        <v>1</v>
      </c>
      <c r="O279" s="104">
        <f t="shared" si="121"/>
        <v>9.4402722849498009E-11</v>
      </c>
      <c r="P279" s="105">
        <f t="shared" ca="1" si="122"/>
        <v>1.4121841717907868</v>
      </c>
      <c r="Q279" s="106">
        <f t="shared" ca="1" si="123"/>
        <v>0.8155498108504905</v>
      </c>
      <c r="R279" s="107">
        <f t="shared" ca="1" si="124"/>
        <v>-19.276222686352909</v>
      </c>
      <c r="S279" s="108">
        <f t="shared" ca="1" si="125"/>
        <v>-80.352131785267289</v>
      </c>
      <c r="T279" s="116">
        <f t="shared" ca="1" si="126"/>
        <v>99.647868214732711</v>
      </c>
      <c r="V279" s="72">
        <f t="shared" ca="1" si="127"/>
        <v>17886.5</v>
      </c>
      <c r="W279" s="72">
        <f t="shared" si="128"/>
        <v>319926882.25</v>
      </c>
      <c r="Y279" s="110">
        <f t="shared" si="129"/>
        <v>7.3294628196176079</v>
      </c>
      <c r="Z279" s="111">
        <f t="shared" si="130"/>
        <v>-31.27795671843332</v>
      </c>
      <c r="AA279" s="72">
        <f t="shared" si="131"/>
        <v>148.72204328156667</v>
      </c>
      <c r="AB279" s="110">
        <f t="shared" ca="1" si="132"/>
        <v>-10.688085159089017</v>
      </c>
      <c r="AC279" s="111">
        <f t="shared" ca="1" si="133"/>
        <v>-49.074175066833945</v>
      </c>
      <c r="AD279" s="72">
        <f t="shared" ca="1" si="134"/>
        <v>130.92582493316604</v>
      </c>
    </row>
    <row r="280" spans="1:30">
      <c r="A280" s="118">
        <v>17990</v>
      </c>
      <c r="B280" s="101">
        <f t="shared" ca="1" si="108"/>
        <v>922.54135048007106</v>
      </c>
      <c r="C280" s="102">
        <f t="shared" ca="1" si="109"/>
        <v>1.5697123643304405</v>
      </c>
      <c r="D280" s="102">
        <f t="shared" si="110"/>
        <v>23.927702913466536</v>
      </c>
      <c r="E280" s="103">
        <f t="shared" si="111"/>
        <v>1.5289915895958568</v>
      </c>
      <c r="F280" s="101">
        <f t="shared" si="112"/>
        <v>1356.4144111829592</v>
      </c>
      <c r="G280" s="104">
        <f t="shared" si="113"/>
        <v>1.5700590889107058</v>
      </c>
      <c r="H280" s="113">
        <f t="shared" si="114"/>
        <v>1.9684460300516931</v>
      </c>
      <c r="I280" s="114">
        <f t="shared" si="115"/>
        <v>1.0379176984195868</v>
      </c>
      <c r="J280" s="101">
        <f t="shared" si="116"/>
        <v>1.0000638819545085</v>
      </c>
      <c r="K280" s="104">
        <f t="shared" si="117"/>
        <v>1.1302968985224629E-2</v>
      </c>
      <c r="L280" s="102">
        <f t="shared" si="118"/>
        <v>1</v>
      </c>
      <c r="M280" s="103">
        <f t="shared" si="119"/>
        <v>5.9343114362175003E-10</v>
      </c>
      <c r="N280" s="101">
        <f t="shared" si="120"/>
        <v>1</v>
      </c>
      <c r="O280" s="104">
        <f t="shared" si="121"/>
        <v>9.4948982979480008E-11</v>
      </c>
      <c r="P280" s="105">
        <f t="shared" ca="1" si="122"/>
        <v>1.4162683491867858</v>
      </c>
      <c r="Q280" s="106">
        <f t="shared" ca="1" si="123"/>
        <v>0.81862036817230199</v>
      </c>
      <c r="R280" s="107">
        <f t="shared" ca="1" si="124"/>
        <v>-19.31439055565129</v>
      </c>
      <c r="S280" s="108">
        <f t="shared" ca="1" si="125"/>
        <v>-80.373688911977354</v>
      </c>
      <c r="T280" s="116">
        <f t="shared" ca="1" si="126"/>
        <v>99.626311088022646</v>
      </c>
      <c r="V280" s="72">
        <f t="shared" ca="1" si="127"/>
        <v>17990</v>
      </c>
      <c r="W280" s="72">
        <f t="shared" si="128"/>
        <v>323640100</v>
      </c>
      <c r="Y280" s="110">
        <f t="shared" si="129"/>
        <v>7.3164671337177598</v>
      </c>
      <c r="Z280" s="111">
        <f t="shared" si="130"/>
        <v>-31.137068205203196</v>
      </c>
      <c r="AA280" s="72">
        <f t="shared" si="131"/>
        <v>148.86293179479679</v>
      </c>
      <c r="AB280" s="110">
        <f t="shared" ca="1" si="132"/>
        <v>-10.713257342487545</v>
      </c>
      <c r="AC280" s="111">
        <f t="shared" ca="1" si="133"/>
        <v>-49.236620706774133</v>
      </c>
      <c r="AD280" s="72">
        <f t="shared" ca="1" si="134"/>
        <v>130.76337929322585</v>
      </c>
    </row>
    <row r="281" spans="1:30">
      <c r="A281" s="118">
        <v>18093.5</v>
      </c>
      <c r="B281" s="101">
        <f t="shared" ca="1" si="108"/>
        <v>927.84890567214848</v>
      </c>
      <c r="C281" s="102">
        <f t="shared" ca="1" si="109"/>
        <v>1.5697185649012499</v>
      </c>
      <c r="D281" s="102">
        <f t="shared" si="110"/>
        <v>24.065123929117419</v>
      </c>
      <c r="E281" s="103">
        <f t="shared" si="111"/>
        <v>1.5292304485262016</v>
      </c>
      <c r="F281" s="101">
        <f t="shared" si="112"/>
        <v>1364.2181252169537</v>
      </c>
      <c r="G281" s="104">
        <f t="shared" si="113"/>
        <v>1.5700633061209526</v>
      </c>
      <c r="H281" s="113">
        <f t="shared" si="114"/>
        <v>1.9768543878037257</v>
      </c>
      <c r="I281" s="114">
        <f t="shared" si="115"/>
        <v>1.0404244640902789</v>
      </c>
      <c r="J281" s="101">
        <f t="shared" si="116"/>
        <v>1.000064619095977</v>
      </c>
      <c r="K281" s="104">
        <f t="shared" si="117"/>
        <v>1.1367991597383073E-2</v>
      </c>
      <c r="L281" s="102">
        <f t="shared" si="118"/>
        <v>1</v>
      </c>
      <c r="M281" s="103">
        <f t="shared" si="119"/>
        <v>5.9684526943413751E-10</v>
      </c>
      <c r="N281" s="101">
        <f t="shared" si="120"/>
        <v>1</v>
      </c>
      <c r="O281" s="104">
        <f t="shared" si="121"/>
        <v>9.5495243109462006E-11</v>
      </c>
      <c r="P281" s="105">
        <f t="shared" ca="1" si="122"/>
        <v>1.4203643437514073</v>
      </c>
      <c r="Q281" s="106">
        <f t="shared" ca="1" si="123"/>
        <v>0.82167434289501584</v>
      </c>
      <c r="R281" s="107">
        <f t="shared" ca="1" si="124"/>
        <v>-19.352372691462108</v>
      </c>
      <c r="S281" s="108">
        <f t="shared" ca="1" si="125"/>
        <v>-80.395678488558573</v>
      </c>
      <c r="T281" s="116">
        <f t="shared" ca="1" si="126"/>
        <v>99.604321511441427</v>
      </c>
      <c r="V281" s="72">
        <f t="shared" ca="1" si="127"/>
        <v>18093.5</v>
      </c>
      <c r="W281" s="72">
        <f t="shared" si="128"/>
        <v>327374742.25</v>
      </c>
      <c r="Y281" s="110">
        <f t="shared" si="129"/>
        <v>7.3036557100860477</v>
      </c>
      <c r="Z281" s="111">
        <f t="shared" si="130"/>
        <v>-30.997408261318405</v>
      </c>
      <c r="AA281" s="72">
        <f t="shared" si="131"/>
        <v>149.00259173868159</v>
      </c>
      <c r="AB281" s="110">
        <f t="shared" ca="1" si="132"/>
        <v>-10.738428054666651</v>
      </c>
      <c r="AC281" s="111">
        <f t="shared" ca="1" si="133"/>
        <v>-49.398270227240175</v>
      </c>
      <c r="AD281" s="72">
        <f t="shared" ca="1" si="134"/>
        <v>130.60172977275982</v>
      </c>
    </row>
    <row r="282" spans="1:30">
      <c r="A282" s="118">
        <v>18197</v>
      </c>
      <c r="B282" s="101">
        <f t="shared" ca="1" si="108"/>
        <v>933.15646089949314</v>
      </c>
      <c r="C282" s="102">
        <f t="shared" ca="1" si="109"/>
        <v>1.5697246949375387</v>
      </c>
      <c r="D282" s="102">
        <f t="shared" si="110"/>
        <v>24.202546302178249</v>
      </c>
      <c r="E282" s="103">
        <f t="shared" si="111"/>
        <v>1.5294665949816586</v>
      </c>
      <c r="F282" s="101">
        <f t="shared" si="112"/>
        <v>1372.0218392749348</v>
      </c>
      <c r="G282" s="104">
        <f t="shared" si="113"/>
        <v>1.5700674753583437</v>
      </c>
      <c r="H282" s="113">
        <f t="shared" si="114"/>
        <v>1.9852750625886888</v>
      </c>
      <c r="I282" s="114">
        <f t="shared" si="115"/>
        <v>1.0429099800464734</v>
      </c>
      <c r="J282" s="101">
        <f t="shared" si="116"/>
        <v>1.0000653604656522</v>
      </c>
      <c r="K282" s="104">
        <f t="shared" si="117"/>
        <v>1.1433014113411143E-2</v>
      </c>
      <c r="L282" s="102">
        <f t="shared" si="118"/>
        <v>1</v>
      </c>
      <c r="M282" s="103">
        <f t="shared" si="119"/>
        <v>6.002593952465251E-10</v>
      </c>
      <c r="N282" s="101">
        <f t="shared" si="120"/>
        <v>1</v>
      </c>
      <c r="O282" s="104">
        <f t="shared" si="121"/>
        <v>9.6041503239444005E-11</v>
      </c>
      <c r="P282" s="105">
        <f t="shared" ca="1" si="122"/>
        <v>1.4244720552308172</v>
      </c>
      <c r="Q282" s="106">
        <f t="shared" ca="1" si="123"/>
        <v>0.82471183074293175</v>
      </c>
      <c r="R282" s="107">
        <f t="shared" ca="1" si="124"/>
        <v>-19.390171638400012</v>
      </c>
      <c r="S282" s="108">
        <f t="shared" ca="1" si="125"/>
        <v>-80.418089573636323</v>
      </c>
      <c r="T282" s="116">
        <f t="shared" ca="1" si="126"/>
        <v>99.581910426363677</v>
      </c>
      <c r="V282" s="72">
        <f t="shared" ca="1" si="127"/>
        <v>18197</v>
      </c>
      <c r="W282" s="72">
        <f t="shared" si="128"/>
        <v>331130809</v>
      </c>
      <c r="Y282" s="110">
        <f t="shared" si="129"/>
        <v>7.2910252182811428</v>
      </c>
      <c r="Z282" s="111">
        <f t="shared" si="130"/>
        <v>-30.858963082241551</v>
      </c>
      <c r="AA282" s="72">
        <f t="shared" si="131"/>
        <v>149.14103691775844</v>
      </c>
      <c r="AB282" s="110">
        <f t="shared" ca="1" si="132"/>
        <v>-10.763596509799653</v>
      </c>
      <c r="AC282" s="111">
        <f t="shared" ca="1" si="133"/>
        <v>-49.559126491394778</v>
      </c>
      <c r="AD282" s="72">
        <f t="shared" ca="1" si="134"/>
        <v>130.44087350860522</v>
      </c>
    </row>
    <row r="283" spans="1:30">
      <c r="A283" s="118">
        <v>18303</v>
      </c>
      <c r="B283" s="101">
        <f t="shared" ca="1" si="108"/>
        <v>938.59221797985379</v>
      </c>
      <c r="C283" s="102">
        <f t="shared" ca="1" si="109"/>
        <v>1.5697309011819067</v>
      </c>
      <c r="D283" s="102">
        <f t="shared" si="110"/>
        <v>24.343289439198372</v>
      </c>
      <c r="E283" s="103">
        <f t="shared" si="111"/>
        <v>1.5297056818846853</v>
      </c>
      <c r="F283" s="101">
        <f t="shared" si="112"/>
        <v>1380.0140488659999</v>
      </c>
      <c r="G283" s="104">
        <f t="shared" si="113"/>
        <v>1.5700716964273025</v>
      </c>
      <c r="H283" s="113">
        <f t="shared" si="114"/>
        <v>1.9939117391557271</v>
      </c>
      <c r="I283" s="114">
        <f t="shared" si="115"/>
        <v>1.0454337562178144</v>
      </c>
      <c r="J283" s="101">
        <f t="shared" si="116"/>
        <v>1.0000661241254343</v>
      </c>
      <c r="K283" s="104">
        <f t="shared" si="117"/>
        <v>1.1499607121398137E-2</v>
      </c>
      <c r="L283" s="102">
        <f t="shared" si="118"/>
        <v>1</v>
      </c>
      <c r="M283" s="103">
        <f t="shared" si="119"/>
        <v>6.0375598786597505E-10</v>
      </c>
      <c r="N283" s="101">
        <f t="shared" si="120"/>
        <v>1</v>
      </c>
      <c r="O283" s="104">
        <f t="shared" si="121"/>
        <v>9.6600958058556004E-11</v>
      </c>
      <c r="P283" s="105">
        <f t="shared" ca="1" si="122"/>
        <v>1.4286910278182938</v>
      </c>
      <c r="Q283" s="106">
        <f t="shared" ca="1" si="123"/>
        <v>0.82780569882095434</v>
      </c>
      <c r="R283" s="107">
        <f t="shared" ca="1" si="124"/>
        <v>-19.428696320804761</v>
      </c>
      <c r="S283" s="108">
        <f t="shared" ca="1" si="125"/>
        <v>-80.4414677025499</v>
      </c>
      <c r="T283" s="116">
        <f t="shared" ca="1" si="126"/>
        <v>99.5585322974501</v>
      </c>
      <c r="V283" s="72">
        <f t="shared" ca="1" si="127"/>
        <v>18303</v>
      </c>
      <c r="W283" s="72">
        <f t="shared" si="128"/>
        <v>334999809</v>
      </c>
      <c r="Y283" s="110">
        <f t="shared" si="129"/>
        <v>7.2782737780177804</v>
      </c>
      <c r="Z283" s="111">
        <f t="shared" si="130"/>
        <v>-30.718418706598264</v>
      </c>
      <c r="AA283" s="72">
        <f t="shared" si="131"/>
        <v>149.28158129340173</v>
      </c>
      <c r="AB283" s="110">
        <f t="shared" ca="1" si="132"/>
        <v>-10.789369751941036</v>
      </c>
      <c r="AC283" s="111">
        <f t="shared" ca="1" si="133"/>
        <v>-49.723048995951679</v>
      </c>
      <c r="AD283" s="72">
        <f t="shared" ca="1" si="134"/>
        <v>130.27695100404833</v>
      </c>
    </row>
    <row r="284" spans="1:30">
      <c r="A284" s="118">
        <v>18409</v>
      </c>
      <c r="B284" s="101">
        <f t="shared" ca="1" si="108"/>
        <v>944.0279750959503</v>
      </c>
      <c r="C284" s="102">
        <f t="shared" ca="1" si="109"/>
        <v>1.5697370359545859</v>
      </c>
      <c r="D284" s="102">
        <f t="shared" si="110"/>
        <v>24.484033951744902</v>
      </c>
      <c r="E284" s="103">
        <f t="shared" si="111"/>
        <v>1.5299420200571814</v>
      </c>
      <c r="F284" s="101">
        <f t="shared" si="112"/>
        <v>1388.0062584813702</v>
      </c>
      <c r="G284" s="104">
        <f t="shared" si="113"/>
        <v>1.5700758688860079</v>
      </c>
      <c r="H284" s="113">
        <f t="shared" si="114"/>
        <v>2.0025610062427921</v>
      </c>
      <c r="I284" s="114">
        <f t="shared" si="115"/>
        <v>1.0479357473129527</v>
      </c>
      <c r="J284" s="101">
        <f t="shared" si="116"/>
        <v>1.0000668922201317</v>
      </c>
      <c r="K284" s="104">
        <f t="shared" si="117"/>
        <v>1.1566200027387813E-2</v>
      </c>
      <c r="L284" s="102">
        <f t="shared" si="118"/>
        <v>1</v>
      </c>
      <c r="M284" s="103">
        <f t="shared" si="119"/>
        <v>6.0725258048542501E-10</v>
      </c>
      <c r="N284" s="101">
        <f t="shared" si="120"/>
        <v>1</v>
      </c>
      <c r="O284" s="104">
        <f t="shared" si="121"/>
        <v>9.7160412877668004E-11</v>
      </c>
      <c r="P284" s="105">
        <f t="shared" ca="1" si="122"/>
        <v>1.4329220801409221</v>
      </c>
      <c r="Q284" s="106">
        <f t="shared" ca="1" si="123"/>
        <v>0.83088247707255658</v>
      </c>
      <c r="R284" s="107">
        <f t="shared" ca="1" si="124"/>
        <v>-19.467034073170883</v>
      </c>
      <c r="S284" s="108">
        <f t="shared" ca="1" si="125"/>
        <v>-80.465265454086193</v>
      </c>
      <c r="T284" s="116">
        <f t="shared" ca="1" si="126"/>
        <v>99.534734545913807</v>
      </c>
      <c r="V284" s="72">
        <f t="shared" ca="1" si="127"/>
        <v>18409</v>
      </c>
      <c r="W284" s="72">
        <f t="shared" si="128"/>
        <v>338891281</v>
      </c>
      <c r="Y284" s="110">
        <f t="shared" si="129"/>
        <v>7.2657052742813546</v>
      </c>
      <c r="Z284" s="111">
        <f t="shared" si="130"/>
        <v>-30.579119732872805</v>
      </c>
      <c r="AA284" s="72">
        <f t="shared" si="131"/>
        <v>149.42088026712719</v>
      </c>
      <c r="AB284" s="110">
        <f t="shared" ca="1" si="132"/>
        <v>-10.815139000570733</v>
      </c>
      <c r="AC284" s="111">
        <f t="shared" ca="1" si="133"/>
        <v>-49.886145721213396</v>
      </c>
      <c r="AD284" s="72">
        <f t="shared" ca="1" si="134"/>
        <v>130.11385427878662</v>
      </c>
    </row>
    <row r="285" spans="1:30">
      <c r="A285" s="118">
        <v>18515</v>
      </c>
      <c r="B285" s="101">
        <f t="shared" ca="1" si="108"/>
        <v>949.46373224716888</v>
      </c>
      <c r="C285" s="102">
        <f t="shared" ca="1" si="109"/>
        <v>1.5697431004831193</v>
      </c>
      <c r="D285" s="102">
        <f t="shared" si="110"/>
        <v>24.624779816232113</v>
      </c>
      <c r="E285" s="103">
        <f t="shared" si="111"/>
        <v>1.5301756566046074</v>
      </c>
      <c r="F285" s="101">
        <f t="shared" si="112"/>
        <v>1395.9984681206283</v>
      </c>
      <c r="G285" s="104">
        <f t="shared" si="113"/>
        <v>1.5700799935693535</v>
      </c>
      <c r="H285" s="113">
        <f t="shared" si="114"/>
        <v>2.0112227014132245</v>
      </c>
      <c r="I285" s="114">
        <f t="shared" si="115"/>
        <v>1.0504162032679996</v>
      </c>
      <c r="J285" s="101">
        <f t="shared" si="116"/>
        <v>1.0000676647497337</v>
      </c>
      <c r="K285" s="104">
        <f t="shared" si="117"/>
        <v>1.1632792830789782E-2</v>
      </c>
      <c r="L285" s="102">
        <f t="shared" si="118"/>
        <v>1</v>
      </c>
      <c r="M285" s="103">
        <f t="shared" si="119"/>
        <v>6.1074917310487507E-10</v>
      </c>
      <c r="N285" s="101">
        <f t="shared" si="120"/>
        <v>1</v>
      </c>
      <c r="O285" s="104">
        <f t="shared" si="121"/>
        <v>9.7719867696780003E-11</v>
      </c>
      <c r="P285" s="105">
        <f t="shared" ca="1" si="122"/>
        <v>1.4371651073349723</v>
      </c>
      <c r="Q285" s="106">
        <f t="shared" ca="1" si="123"/>
        <v>0.83394226818737327</v>
      </c>
      <c r="R285" s="107">
        <f t="shared" ca="1" si="124"/>
        <v>-19.505187442749303</v>
      </c>
      <c r="S285" s="108">
        <f t="shared" ca="1" si="125"/>
        <v>-80.489471810834516</v>
      </c>
      <c r="T285" s="116">
        <f t="shared" ca="1" si="126"/>
        <v>99.510528189165484</v>
      </c>
      <c r="V285" s="72">
        <f t="shared" ca="1" si="127"/>
        <v>18515</v>
      </c>
      <c r="W285" s="72">
        <f t="shared" si="128"/>
        <v>342805225</v>
      </c>
      <c r="Y285" s="110">
        <f t="shared" si="129"/>
        <v>7.2533163582789308</v>
      </c>
      <c r="Z285" s="111">
        <f t="shared" si="130"/>
        <v>-30.441051888582869</v>
      </c>
      <c r="AA285" s="72">
        <f t="shared" si="131"/>
        <v>149.55894811141712</v>
      </c>
      <c r="AB285" s="110">
        <f t="shared" ca="1" si="132"/>
        <v>-10.84090345414673</v>
      </c>
      <c r="AC285" s="111">
        <f t="shared" ca="1" si="133"/>
        <v>-50.048419922251639</v>
      </c>
      <c r="AD285" s="72">
        <f t="shared" ca="1" si="134"/>
        <v>129.95158007774836</v>
      </c>
    </row>
    <row r="286" spans="1:30">
      <c r="A286" s="118">
        <v>18621</v>
      </c>
      <c r="B286" s="101">
        <f t="shared" ca="1" si="108"/>
        <v>954.89948943290983</v>
      </c>
      <c r="C286" s="102">
        <f t="shared" ca="1" si="109"/>
        <v>1.5697490959670992</v>
      </c>
      <c r="D286" s="102">
        <f t="shared" si="110"/>
        <v>24.76552700961021</v>
      </c>
      <c r="E286" s="103">
        <f t="shared" si="111"/>
        <v>1.5304066375627816</v>
      </c>
      <c r="F286" s="101">
        <f t="shared" si="112"/>
        <v>1403.990677783366</v>
      </c>
      <c r="G286" s="104">
        <f t="shared" si="113"/>
        <v>1.5700840712932218</v>
      </c>
      <c r="H286" s="113">
        <f t="shared" si="114"/>
        <v>2.019896664785183</v>
      </c>
      <c r="I286" s="114">
        <f t="shared" si="115"/>
        <v>1.0528753707951415</v>
      </c>
      <c r="J286" s="101">
        <f t="shared" si="116"/>
        <v>1.0000684417142305</v>
      </c>
      <c r="K286" s="104">
        <f t="shared" si="117"/>
        <v>1.1699385531013658E-2</v>
      </c>
      <c r="L286" s="102">
        <f t="shared" si="118"/>
        <v>1</v>
      </c>
      <c r="M286" s="103">
        <f t="shared" si="119"/>
        <v>6.1424576572432502E-10</v>
      </c>
      <c r="N286" s="101">
        <f t="shared" si="120"/>
        <v>1</v>
      </c>
      <c r="O286" s="104">
        <f t="shared" si="121"/>
        <v>9.8279322515892003E-11</v>
      </c>
      <c r="P286" s="105">
        <f t="shared" ca="1" si="122"/>
        <v>1.4414200054817492</v>
      </c>
      <c r="Q286" s="106">
        <f t="shared" ca="1" si="123"/>
        <v>0.83698517476899092</v>
      </c>
      <c r="R286" s="107">
        <f t="shared" ca="1" si="124"/>
        <v>-19.543158917510087</v>
      </c>
      <c r="S286" s="108">
        <f t="shared" ca="1" si="125"/>
        <v>-80.514075993766554</v>
      </c>
      <c r="T286" s="116">
        <f t="shared" ca="1" si="126"/>
        <v>99.485924006233446</v>
      </c>
      <c r="V286" s="72">
        <f t="shared" ca="1" si="127"/>
        <v>18621</v>
      </c>
      <c r="W286" s="72">
        <f t="shared" si="128"/>
        <v>346741641</v>
      </c>
      <c r="Y286" s="110">
        <f t="shared" si="129"/>
        <v>7.2411037545721531</v>
      </c>
      <c r="Z286" s="111">
        <f t="shared" si="130"/>
        <v>-30.304201084874247</v>
      </c>
      <c r="AA286" s="72">
        <f t="shared" si="131"/>
        <v>149.69579891512575</v>
      </c>
      <c r="AB286" s="110">
        <f t="shared" ca="1" si="132"/>
        <v>-10.866662325200737</v>
      </c>
      <c r="AC286" s="111">
        <f t="shared" ca="1" si="133"/>
        <v>-50.209874908892317</v>
      </c>
      <c r="AD286" s="72">
        <f t="shared" ca="1" si="134"/>
        <v>129.79012509110768</v>
      </c>
    </row>
    <row r="287" spans="1:30">
      <c r="A287" s="118">
        <v>18729.5</v>
      </c>
      <c r="B287" s="101">
        <f t="shared" ca="1" si="108"/>
        <v>960.4634484742104</v>
      </c>
      <c r="C287" s="102">
        <f t="shared" ca="1" si="109"/>
        <v>1.5697551625712511</v>
      </c>
      <c r="D287" s="102">
        <f t="shared" si="110"/>
        <v>24.909595065026672</v>
      </c>
      <c r="E287" s="103">
        <f t="shared" si="111"/>
        <v>1.5306403628703182</v>
      </c>
      <c r="F287" s="101">
        <f t="shared" si="112"/>
        <v>1412.1713829809182</v>
      </c>
      <c r="G287" s="104">
        <f t="shared" si="113"/>
        <v>1.5700881973882068</v>
      </c>
      <c r="H287" s="113">
        <f t="shared" si="114"/>
        <v>2.0287877441460576</v>
      </c>
      <c r="I287" s="114">
        <f t="shared" si="115"/>
        <v>1.0553707442512756</v>
      </c>
      <c r="J287" s="101">
        <f t="shared" si="116"/>
        <v>1.0000692415963739</v>
      </c>
      <c r="K287" s="104">
        <f t="shared" si="117"/>
        <v>1.1767548706316786E-2</v>
      </c>
      <c r="L287" s="102">
        <f t="shared" si="118"/>
        <v>1</v>
      </c>
      <c r="M287" s="103">
        <f t="shared" si="119"/>
        <v>6.1782482515083755E-10</v>
      </c>
      <c r="N287" s="101">
        <f t="shared" si="120"/>
        <v>1</v>
      </c>
      <c r="O287" s="104">
        <f t="shared" si="121"/>
        <v>9.8851972024134003E-11</v>
      </c>
      <c r="P287" s="105">
        <f t="shared" ca="1" si="122"/>
        <v>1.4457874417337726</v>
      </c>
      <c r="Q287" s="106">
        <f t="shared" ca="1" si="123"/>
        <v>0.84008246844327983</v>
      </c>
      <c r="R287" s="107">
        <f t="shared" ca="1" si="124"/>
        <v>-19.581840102039504</v>
      </c>
      <c r="S287" s="108">
        <f t="shared" ca="1" si="125"/>
        <v>-80.53966146894561</v>
      </c>
      <c r="T287" s="116">
        <f t="shared" ca="1" si="126"/>
        <v>99.46033853105439</v>
      </c>
      <c r="V287" s="72">
        <f t="shared" ca="1" si="127"/>
        <v>18729.5</v>
      </c>
      <c r="W287" s="72">
        <f t="shared" si="128"/>
        <v>350794170.25</v>
      </c>
      <c r="Y287" s="110">
        <f t="shared" si="129"/>
        <v>7.2287823727283325</v>
      </c>
      <c r="Z287" s="111">
        <f t="shared" si="130"/>
        <v>-30.165368587289471</v>
      </c>
      <c r="AA287" s="72">
        <f t="shared" si="131"/>
        <v>149.83463141271054</v>
      </c>
      <c r="AB287" s="110">
        <f t="shared" ca="1" si="132"/>
        <v>-10.893022127886333</v>
      </c>
      <c r="AC287" s="111">
        <f t="shared" ca="1" si="133"/>
        <v>-50.374292881656139</v>
      </c>
      <c r="AD287" s="72">
        <f t="shared" ca="1" si="134"/>
        <v>129.62570711834385</v>
      </c>
    </row>
    <row r="288" spans="1:30">
      <c r="A288" s="118">
        <v>18838</v>
      </c>
      <c r="B288" s="101">
        <f t="shared" ca="1" si="108"/>
        <v>966.02740755045238</v>
      </c>
      <c r="C288" s="102">
        <f t="shared" ca="1" si="109"/>
        <v>1.5697611592926297</v>
      </c>
      <c r="D288" s="102">
        <f t="shared" si="110"/>
        <v>25.053664465542827</v>
      </c>
      <c r="E288" s="103">
        <f t="shared" si="111"/>
        <v>1.5308714001472556</v>
      </c>
      <c r="F288" s="101">
        <f t="shared" si="112"/>
        <v>1420.3520882022353</v>
      </c>
      <c r="G288" s="104">
        <f t="shared" si="113"/>
        <v>1.5700922759536151</v>
      </c>
      <c r="H288" s="113">
        <f t="shared" si="114"/>
        <v>2.0376913462530224</v>
      </c>
      <c r="I288" s="114">
        <f t="shared" si="115"/>
        <v>1.0578443261505872</v>
      </c>
      <c r="J288" s="101">
        <f t="shared" si="116"/>
        <v>1.00007004612505</v>
      </c>
      <c r="K288" s="104">
        <f t="shared" si="117"/>
        <v>1.1835711772265837E-2</v>
      </c>
      <c r="L288" s="102">
        <f t="shared" si="118"/>
        <v>1</v>
      </c>
      <c r="M288" s="103">
        <f t="shared" si="119"/>
        <v>6.2140388457735008E-10</v>
      </c>
      <c r="N288" s="101">
        <f t="shared" si="120"/>
        <v>1</v>
      </c>
      <c r="O288" s="104">
        <f t="shared" si="121"/>
        <v>9.9424621532376004E-11</v>
      </c>
      <c r="P288" s="105">
        <f t="shared" ca="1" si="122"/>
        <v>1.4501670981778434</v>
      </c>
      <c r="Q288" s="106">
        <f t="shared" ca="1" si="123"/>
        <v>0.84316228893267831</v>
      </c>
      <c r="R288" s="107">
        <f t="shared" ca="1" si="124"/>
        <v>-19.620335802526402</v>
      </c>
      <c r="S288" s="108">
        <f t="shared" ca="1" si="125"/>
        <v>-80.565641647922121</v>
      </c>
      <c r="T288" s="116">
        <f t="shared" ca="1" si="126"/>
        <v>99.434358352077879</v>
      </c>
      <c r="V288" s="72">
        <f t="shared" ca="1" si="127"/>
        <v>18838</v>
      </c>
      <c r="W288" s="72">
        <f t="shared" si="128"/>
        <v>354870244</v>
      </c>
      <c r="Y288" s="110">
        <f t="shared" si="129"/>
        <v>7.2166390009178203</v>
      </c>
      <c r="Z288" s="111">
        <f t="shared" si="130"/>
        <v>-30.027781924431423</v>
      </c>
      <c r="AA288" s="72">
        <f t="shared" si="131"/>
        <v>149.97221807556858</v>
      </c>
      <c r="AB288" s="110">
        <f t="shared" ca="1" si="132"/>
        <v>-10.919374456562716</v>
      </c>
      <c r="AC288" s="111">
        <f t="shared" ca="1" si="133"/>
        <v>-50.537859723490705</v>
      </c>
      <c r="AD288" s="72">
        <f t="shared" ca="1" si="134"/>
        <v>129.4621402765093</v>
      </c>
    </row>
    <row r="289" spans="1:30">
      <c r="A289" s="118">
        <v>18946.5</v>
      </c>
      <c r="B289" s="101">
        <f t="shared" ca="1" si="108"/>
        <v>971.59136666103564</v>
      </c>
      <c r="C289" s="102">
        <f t="shared" ca="1" si="109"/>
        <v>1.5697670873318164</v>
      </c>
      <c r="D289" s="102">
        <f t="shared" si="110"/>
        <v>25.197735188086639</v>
      </c>
      <c r="E289" s="103">
        <f t="shared" si="111"/>
        <v>1.531099795476015</v>
      </c>
      <c r="F289" s="101">
        <f t="shared" si="112"/>
        <v>1428.532793446909</v>
      </c>
      <c r="G289" s="104">
        <f t="shared" si="113"/>
        <v>1.5700963078060022</v>
      </c>
      <c r="H289" s="113">
        <f t="shared" si="114"/>
        <v>2.0466073076684546</v>
      </c>
      <c r="I289" s="114">
        <f t="shared" si="115"/>
        <v>1.0602963708266386</v>
      </c>
      <c r="J289" s="101">
        <f t="shared" si="116"/>
        <v>1.0000708553002478</v>
      </c>
      <c r="K289" s="104">
        <f t="shared" si="117"/>
        <v>1.1903874728227678E-2</v>
      </c>
      <c r="L289" s="102">
        <f t="shared" si="118"/>
        <v>1</v>
      </c>
      <c r="M289" s="103">
        <f t="shared" si="119"/>
        <v>6.2498294400386261E-10</v>
      </c>
      <c r="N289" s="101">
        <f t="shared" si="120"/>
        <v>1</v>
      </c>
      <c r="O289" s="104">
        <f t="shared" si="121"/>
        <v>9.9997271040618005E-11</v>
      </c>
      <c r="P289" s="105">
        <f t="shared" ca="1" si="122"/>
        <v>1.4545588664088274</v>
      </c>
      <c r="Q289" s="106">
        <f t="shared" ca="1" si="123"/>
        <v>0.84622474587314223</v>
      </c>
      <c r="R289" s="107">
        <f t="shared" ca="1" si="124"/>
        <v>-19.658648505101915</v>
      </c>
      <c r="S289" s="108">
        <f t="shared" ca="1" si="125"/>
        <v>-80.592005715342779</v>
      </c>
      <c r="T289" s="116">
        <f t="shared" ca="1" si="126"/>
        <v>99.407994284657221</v>
      </c>
      <c r="V289" s="72">
        <f t="shared" ca="1" si="127"/>
        <v>18946.5</v>
      </c>
      <c r="W289" s="72">
        <f t="shared" si="128"/>
        <v>358969862.25</v>
      </c>
      <c r="Y289" s="110">
        <f t="shared" si="129"/>
        <v>7.2046703533000827</v>
      </c>
      <c r="Z289" s="111">
        <f t="shared" si="130"/>
        <v>-29.891426570809234</v>
      </c>
      <c r="AA289" s="72">
        <f t="shared" si="131"/>
        <v>150.10857342919076</v>
      </c>
      <c r="AB289" s="110">
        <f t="shared" ca="1" si="132"/>
        <v>-10.945718511520493</v>
      </c>
      <c r="AC289" s="111">
        <f t="shared" ca="1" si="133"/>
        <v>-50.700579144533513</v>
      </c>
      <c r="AD289" s="72">
        <f t="shared" ca="1" si="134"/>
        <v>129.29942085546648</v>
      </c>
    </row>
    <row r="290" spans="1:30">
      <c r="A290" s="118">
        <v>19055</v>
      </c>
      <c r="B290" s="101">
        <f t="shared" ca="1" si="108"/>
        <v>977.15532580537331</v>
      </c>
      <c r="C290" s="102">
        <f t="shared" ca="1" si="109"/>
        <v>1.5697729478620472</v>
      </c>
      <c r="D290" s="102">
        <f t="shared" si="110"/>
        <v>25.341807210110531</v>
      </c>
      <c r="E290" s="103">
        <f t="shared" si="111"/>
        <v>1.5313255938921924</v>
      </c>
      <c r="F290" s="101">
        <f t="shared" si="112"/>
        <v>1436.71349871454</v>
      </c>
      <c r="G290" s="104">
        <f t="shared" si="113"/>
        <v>1.5701002937433255</v>
      </c>
      <c r="H290" s="113">
        <f t="shared" si="114"/>
        <v>2.0555354675654827</v>
      </c>
      <c r="I290" s="114">
        <f t="shared" si="115"/>
        <v>1.0627271292393747</v>
      </c>
      <c r="J290" s="101">
        <f t="shared" si="116"/>
        <v>1.0000716691219556</v>
      </c>
      <c r="K290" s="104">
        <f t="shared" si="117"/>
        <v>1.197203757356918E-2</v>
      </c>
      <c r="L290" s="102">
        <f t="shared" si="118"/>
        <v>1</v>
      </c>
      <c r="M290" s="103">
        <f t="shared" si="119"/>
        <v>6.2856200343037504E-10</v>
      </c>
      <c r="N290" s="101">
        <f t="shared" si="120"/>
        <v>1</v>
      </c>
      <c r="O290" s="104">
        <f t="shared" si="121"/>
        <v>1.0056992054886001E-10</v>
      </c>
      <c r="P290" s="105">
        <f t="shared" ca="1" si="122"/>
        <v>1.4589626390348225</v>
      </c>
      <c r="Q290" s="106">
        <f t="shared" ca="1" si="123"/>
        <v>0.84926994872734995</v>
      </c>
      <c r="R290" s="107">
        <f t="shared" ca="1" si="124"/>
        <v>-19.696780638005805</v>
      </c>
      <c r="S290" s="108">
        <f t="shared" ca="1" si="125"/>
        <v>-80.61874309656659</v>
      </c>
      <c r="T290" s="116">
        <f t="shared" ca="1" si="126"/>
        <v>99.38125690343341</v>
      </c>
      <c r="V290" s="72">
        <f t="shared" ca="1" si="127"/>
        <v>19055</v>
      </c>
      <c r="W290" s="72">
        <f t="shared" si="128"/>
        <v>363093025</v>
      </c>
      <c r="Y290" s="110">
        <f t="shared" si="129"/>
        <v>7.1928732166880032</v>
      </c>
      <c r="Z290" s="111">
        <f t="shared" si="130"/>
        <v>-29.756288193160565</v>
      </c>
      <c r="AA290" s="72">
        <f t="shared" si="131"/>
        <v>150.24371180683943</v>
      </c>
      <c r="AB290" s="110">
        <f t="shared" ca="1" si="132"/>
        <v>-10.972053507812305</v>
      </c>
      <c r="AC290" s="111">
        <f t="shared" ca="1" si="133"/>
        <v>-50.862454903406025</v>
      </c>
      <c r="AD290" s="72">
        <f t="shared" ca="1" si="134"/>
        <v>129.13754509659398</v>
      </c>
    </row>
    <row r="291" spans="1:30">
      <c r="A291" s="118">
        <v>19165.75</v>
      </c>
      <c r="B291" s="101">
        <f t="shared" ca="1" si="108"/>
        <v>982.83466662516946</v>
      </c>
      <c r="C291" s="102">
        <f t="shared" ca="1" si="109"/>
        <v>1.5697788614912225</v>
      </c>
      <c r="D291" s="102">
        <f t="shared" si="110"/>
        <v>25.488868218092399</v>
      </c>
      <c r="E291" s="103">
        <f t="shared" si="111"/>
        <v>1.5315534422189618</v>
      </c>
      <c r="F291" s="101">
        <f t="shared" si="112"/>
        <v>1445.0638499672141</v>
      </c>
      <c r="G291" s="104">
        <f t="shared" si="113"/>
        <v>1.5701043157949426</v>
      </c>
      <c r="H291" s="113">
        <f t="shared" si="114"/>
        <v>2.0646611898513108</v>
      </c>
      <c r="I291" s="114">
        <f t="shared" si="115"/>
        <v>1.0651865992455112</v>
      </c>
      <c r="J291" s="101">
        <f t="shared" si="116"/>
        <v>1.0000725046121823</v>
      </c>
      <c r="K291" s="104">
        <f t="shared" si="117"/>
        <v>1.2041613819394111E-2</v>
      </c>
      <c r="L291" s="102">
        <f t="shared" si="118"/>
        <v>1</v>
      </c>
      <c r="M291" s="103">
        <f t="shared" si="119"/>
        <v>6.3221528298324382E-10</v>
      </c>
      <c r="N291" s="101">
        <f t="shared" si="120"/>
        <v>1</v>
      </c>
      <c r="O291" s="104">
        <f t="shared" si="121"/>
        <v>1.01154445277319E-10</v>
      </c>
      <c r="P291" s="105">
        <f t="shared" ca="1" si="122"/>
        <v>1.4634700040492734</v>
      </c>
      <c r="Q291" s="106">
        <f t="shared" ca="1" si="123"/>
        <v>0.85236061991925238</v>
      </c>
      <c r="R291" s="107">
        <f t="shared" ca="1" si="124"/>
        <v>-19.735519767062549</v>
      </c>
      <c r="S291" s="108">
        <f t="shared" ca="1" si="125"/>
        <v>-80.646409210713557</v>
      </c>
      <c r="T291" s="116">
        <f t="shared" ca="1" si="126"/>
        <v>99.353590789286443</v>
      </c>
      <c r="V291" s="72">
        <f t="shared" ca="1" si="127"/>
        <v>19165.75</v>
      </c>
      <c r="W291" s="72">
        <f t="shared" si="128"/>
        <v>367325973.0625</v>
      </c>
      <c r="Y291" s="110">
        <f t="shared" si="129"/>
        <v>7.1810050590619543</v>
      </c>
      <c r="Z291" s="111">
        <f t="shared" si="130"/>
        <v>-29.619587813460672</v>
      </c>
      <c r="AA291" s="72">
        <f t="shared" si="131"/>
        <v>150.38041218653933</v>
      </c>
      <c r="AB291" s="110">
        <f t="shared" ca="1" si="132"/>
        <v>-10.998924479243001</v>
      </c>
      <c r="AC291" s="111">
        <f t="shared" ca="1" si="133"/>
        <v>-51.026821397252853</v>
      </c>
      <c r="AD291" s="72">
        <f t="shared" ca="1" si="134"/>
        <v>128.97317860274714</v>
      </c>
    </row>
    <row r="292" spans="1:30">
      <c r="A292" s="118">
        <v>19276.5</v>
      </c>
      <c r="B292" s="101">
        <f t="shared" ca="1" si="108"/>
        <v>988.51400747894138</v>
      </c>
      <c r="C292" s="102">
        <f t="shared" ca="1" si="109"/>
        <v>1.5697847071688755</v>
      </c>
      <c r="D292" s="102">
        <f t="shared" si="110"/>
        <v>25.63593053414354</v>
      </c>
      <c r="E292" s="103">
        <f t="shared" si="111"/>
        <v>1.531778676421454</v>
      </c>
      <c r="F292" s="101">
        <f t="shared" si="112"/>
        <v>1453.4142012429961</v>
      </c>
      <c r="G292" s="104">
        <f t="shared" si="113"/>
        <v>1.5701082916304929</v>
      </c>
      <c r="H292" s="113">
        <f t="shared" si="114"/>
        <v>2.0737992912974121</v>
      </c>
      <c r="I292" s="114">
        <f t="shared" si="115"/>
        <v>1.0676244088063795</v>
      </c>
      <c r="J292" s="101">
        <f t="shared" si="116"/>
        <v>1.0000733449436059</v>
      </c>
      <c r="K292" s="104">
        <f t="shared" si="117"/>
        <v>1.2111189948630216E-2</v>
      </c>
      <c r="L292" s="102">
        <f t="shared" si="118"/>
        <v>1</v>
      </c>
      <c r="M292" s="103">
        <f t="shared" si="119"/>
        <v>6.3586856253611259E-10</v>
      </c>
      <c r="N292" s="101">
        <f t="shared" si="120"/>
        <v>1</v>
      </c>
      <c r="O292" s="104">
        <f t="shared" si="121"/>
        <v>1.01738970005778E-10</v>
      </c>
      <c r="P292" s="105">
        <f t="shared" ca="1" si="122"/>
        <v>1.4679896535930708</v>
      </c>
      <c r="Q292" s="106">
        <f t="shared" ca="1" si="123"/>
        <v>0.85543354383276426</v>
      </c>
      <c r="R292" s="107">
        <f t="shared" ca="1" si="124"/>
        <v>-19.774075694983104</v>
      </c>
      <c r="S292" s="108">
        <f t="shared" ca="1" si="125"/>
        <v>-80.674442763094675</v>
      </c>
      <c r="T292" s="116">
        <f t="shared" ca="1" si="126"/>
        <v>99.325557236905325</v>
      </c>
      <c r="V292" s="72">
        <f t="shared" ca="1" si="127"/>
        <v>19276.5</v>
      </c>
      <c r="W292" s="72">
        <f t="shared" si="128"/>
        <v>371583452.25</v>
      </c>
      <c r="Y292" s="110">
        <f t="shared" si="129"/>
        <v>7.169309057911831</v>
      </c>
      <c r="Z292" s="111">
        <f t="shared" si="130"/>
        <v>-29.484125831192827</v>
      </c>
      <c r="AA292" s="72">
        <f t="shared" si="131"/>
        <v>150.51587416880716</v>
      </c>
      <c r="AB292" s="110">
        <f t="shared" ca="1" si="132"/>
        <v>-11.025784406013429</v>
      </c>
      <c r="AC292" s="111">
        <f t="shared" ca="1" si="133"/>
        <v>-51.190316931901869</v>
      </c>
      <c r="AD292" s="72">
        <f t="shared" ca="1" si="134"/>
        <v>128.80968306809814</v>
      </c>
    </row>
    <row r="293" spans="1:30">
      <c r="A293" s="118">
        <v>19387.25</v>
      </c>
      <c r="B293" s="101">
        <f t="shared" ca="1" si="108"/>
        <v>994.19334836610676</v>
      </c>
      <c r="C293" s="102">
        <f t="shared" ca="1" si="109"/>
        <v>1.569790486059528</v>
      </c>
      <c r="D293" s="102">
        <f t="shared" si="110"/>
        <v>25.782994135880866</v>
      </c>
      <c r="E293" s="103">
        <f t="shared" si="111"/>
        <v>1.532001341208723</v>
      </c>
      <c r="F293" s="101">
        <f t="shared" si="112"/>
        <v>1461.7645525414898</v>
      </c>
      <c r="G293" s="104">
        <f t="shared" si="113"/>
        <v>1.5701122220420065</v>
      </c>
      <c r="H293" s="113">
        <f t="shared" si="114"/>
        <v>2.0829496089780735</v>
      </c>
      <c r="I293" s="114">
        <f t="shared" si="115"/>
        <v>1.07004081421519</v>
      </c>
      <c r="J293" s="101">
        <f t="shared" si="116"/>
        <v>1.0000741901162142</v>
      </c>
      <c r="K293" s="104">
        <f t="shared" si="117"/>
        <v>1.2180765960604174E-2</v>
      </c>
      <c r="L293" s="102">
        <f t="shared" si="118"/>
        <v>1</v>
      </c>
      <c r="M293" s="103">
        <f t="shared" si="119"/>
        <v>6.3952184208898126E-10</v>
      </c>
      <c r="N293" s="101">
        <f t="shared" si="120"/>
        <v>1</v>
      </c>
      <c r="O293" s="104">
        <f t="shared" si="121"/>
        <v>1.0232349473423701E-10</v>
      </c>
      <c r="P293" s="105">
        <f t="shared" ca="1" si="122"/>
        <v>1.4725214766783097</v>
      </c>
      <c r="Q293" s="106">
        <f t="shared" ca="1" si="123"/>
        <v>0.85848883620736238</v>
      </c>
      <c r="R293" s="107">
        <f t="shared" ca="1" si="124"/>
        <v>-19.812450828269188</v>
      </c>
      <c r="S293" s="108">
        <f t="shared" ca="1" si="125"/>
        <v>-80.702833250997784</v>
      </c>
      <c r="T293" s="116">
        <f t="shared" ca="1" si="126"/>
        <v>99.297166749002216</v>
      </c>
      <c r="V293" s="72">
        <f t="shared" ca="1" si="127"/>
        <v>19387.25</v>
      </c>
      <c r="W293" s="72">
        <f t="shared" si="128"/>
        <v>375865462.5625</v>
      </c>
      <c r="Y293" s="110">
        <f t="shared" si="129"/>
        <v>7.1577820183813765</v>
      </c>
      <c r="Z293" s="111">
        <f t="shared" si="130"/>
        <v>-29.34988760717912</v>
      </c>
      <c r="AA293" s="72">
        <f t="shared" si="131"/>
        <v>150.65011239282089</v>
      </c>
      <c r="AB293" s="110">
        <f t="shared" ca="1" si="132"/>
        <v>-11.052632499769059</v>
      </c>
      <c r="AC293" s="111">
        <f t="shared" ca="1" si="133"/>
        <v>-51.352945643818622</v>
      </c>
      <c r="AD293" s="72">
        <f t="shared" ca="1" si="134"/>
        <v>128.64705435618137</v>
      </c>
    </row>
    <row r="294" spans="1:30">
      <c r="A294" s="118">
        <v>19498</v>
      </c>
      <c r="B294" s="101">
        <f t="shared" ca="1" si="108"/>
        <v>999.87268928609672</v>
      </c>
      <c r="C294" s="102">
        <f t="shared" ca="1" si="109"/>
        <v>1.5697961993012421</v>
      </c>
      <c r="D294" s="102">
        <f t="shared" si="110"/>
        <v>25.93005900142888</v>
      </c>
      <c r="E294" s="103">
        <f t="shared" si="111"/>
        <v>1.5322214802765692</v>
      </c>
      <c r="F294" s="101">
        <f t="shared" si="112"/>
        <v>1470.1149038623091</v>
      </c>
      <c r="G294" s="104">
        <f t="shared" si="113"/>
        <v>1.5701161078035177</v>
      </c>
      <c r="H294" s="113">
        <f t="shared" si="114"/>
        <v>2.0921119826020327</v>
      </c>
      <c r="I294" s="114">
        <f t="shared" si="115"/>
        <v>1.0724360682842604</v>
      </c>
      <c r="J294" s="101">
        <f t="shared" si="116"/>
        <v>1.0000750401299949</v>
      </c>
      <c r="K294" s="104">
        <f t="shared" si="117"/>
        <v>1.2250341854642674E-2</v>
      </c>
      <c r="L294" s="102">
        <f t="shared" si="118"/>
        <v>1</v>
      </c>
      <c r="M294" s="103">
        <f t="shared" si="119"/>
        <v>6.4317512164185004E-10</v>
      </c>
      <c r="N294" s="101">
        <f t="shared" si="120"/>
        <v>1</v>
      </c>
      <c r="O294" s="104">
        <f t="shared" si="121"/>
        <v>1.0290801946269601E-10</v>
      </c>
      <c r="P294" s="105">
        <f t="shared" ca="1" si="122"/>
        <v>1.4770653633885773</v>
      </c>
      <c r="Q294" s="106">
        <f t="shared" ca="1" si="123"/>
        <v>0.86152661251789342</v>
      </c>
      <c r="R294" s="107">
        <f t="shared" ca="1" si="124"/>
        <v>-19.850647517580125</v>
      </c>
      <c r="S294" s="108">
        <f t="shared" ca="1" si="125"/>
        <v>-80.73157041149679</v>
      </c>
      <c r="T294" s="116">
        <f t="shared" ca="1" si="126"/>
        <v>99.26842958850321</v>
      </c>
      <c r="V294" s="72">
        <f t="shared" ca="1" si="127"/>
        <v>19498</v>
      </c>
      <c r="W294" s="72">
        <f t="shared" si="128"/>
        <v>380172004</v>
      </c>
      <c r="Y294" s="110">
        <f t="shared" si="129"/>
        <v>7.1464208167109771</v>
      </c>
      <c r="Z294" s="111">
        <f t="shared" si="130"/>
        <v>-29.216858700651066</v>
      </c>
      <c r="AA294" s="72">
        <f t="shared" si="131"/>
        <v>150.78314129934893</v>
      </c>
      <c r="AB294" s="110">
        <f t="shared" ca="1" si="132"/>
        <v>-11.079467987409595</v>
      </c>
      <c r="AC294" s="111">
        <f t="shared" ca="1" si="133"/>
        <v>-51.514711710845752</v>
      </c>
      <c r="AD294" s="72">
        <f t="shared" ca="1" si="134"/>
        <v>128.48528828915425</v>
      </c>
    </row>
    <row r="295" spans="1:30">
      <c r="A295" s="118">
        <v>19611.75</v>
      </c>
      <c r="B295" s="101">
        <f t="shared" ca="1" si="108"/>
        <v>1005.7058724316364</v>
      </c>
      <c r="C295" s="102">
        <f t="shared" ca="1" si="109"/>
        <v>1.5698020001312141</v>
      </c>
      <c r="D295" s="102">
        <f t="shared" si="110"/>
        <v>26.081108858535629</v>
      </c>
      <c r="E295" s="103">
        <f t="shared" si="111"/>
        <v>1.5324449980650074</v>
      </c>
      <c r="F295" s="101">
        <f t="shared" si="112"/>
        <v>1478.6914498241422</v>
      </c>
      <c r="G295" s="104">
        <f t="shared" si="113"/>
        <v>1.5701200531366271</v>
      </c>
      <c r="H295" s="113">
        <f t="shared" si="114"/>
        <v>2.1015349315229037</v>
      </c>
      <c r="I295" s="114">
        <f t="shared" si="115"/>
        <v>1.0748744484806523</v>
      </c>
      <c r="J295" s="101">
        <f t="shared" si="116"/>
        <v>1.0000759182086219</v>
      </c>
      <c r="K295" s="104">
        <f t="shared" si="117"/>
        <v>1.2321802299533863E-2</v>
      </c>
      <c r="L295" s="102">
        <f t="shared" si="118"/>
        <v>1</v>
      </c>
      <c r="M295" s="103">
        <f t="shared" si="119"/>
        <v>6.4692736136319384E-10</v>
      </c>
      <c r="N295" s="101">
        <f t="shared" si="120"/>
        <v>1</v>
      </c>
      <c r="O295" s="104">
        <f t="shared" si="121"/>
        <v>1.03508377818111E-10</v>
      </c>
      <c r="P295" s="105">
        <f t="shared" ca="1" si="122"/>
        <v>1.4817447789561917</v>
      </c>
      <c r="Q295" s="106">
        <f t="shared" ca="1" si="123"/>
        <v>0.86462856301475011</v>
      </c>
      <c r="R295" s="107">
        <f t="shared" ca="1" si="124"/>
        <v>-19.889695532009508</v>
      </c>
      <c r="S295" s="108">
        <f t="shared" ca="1" si="125"/>
        <v>-80.761436358958974</v>
      </c>
      <c r="T295" s="116">
        <f t="shared" ca="1" si="126"/>
        <v>99.238563641041026</v>
      </c>
      <c r="V295" s="72">
        <f t="shared" ca="1" si="127"/>
        <v>19611.75</v>
      </c>
      <c r="W295" s="72">
        <f t="shared" si="128"/>
        <v>384620738.0625</v>
      </c>
      <c r="Y295" s="110">
        <f t="shared" si="129"/>
        <v>7.1349212914890181</v>
      </c>
      <c r="Z295" s="111">
        <f t="shared" si="130"/>
        <v>-29.081470239044556</v>
      </c>
      <c r="AA295" s="72">
        <f t="shared" si="131"/>
        <v>150.91852976095544</v>
      </c>
      <c r="AB295" s="110">
        <f t="shared" ca="1" si="132"/>
        <v>-11.107016476617019</v>
      </c>
      <c r="AC295" s="111">
        <f t="shared" ca="1" si="133"/>
        <v>-51.67996611991444</v>
      </c>
      <c r="AD295" s="72">
        <f t="shared" ca="1" si="134"/>
        <v>128.32003388008556</v>
      </c>
    </row>
    <row r="296" spans="1:30">
      <c r="A296" s="118">
        <v>19725.5</v>
      </c>
      <c r="B296" s="101">
        <f t="shared" ca="1" si="108"/>
        <v>1011.5390556106273</v>
      </c>
      <c r="C296" s="102">
        <f t="shared" ca="1" si="109"/>
        <v>1.5698077340585714</v>
      </c>
      <c r="D296" s="102">
        <f t="shared" si="110"/>
        <v>26.232160003653753</v>
      </c>
      <c r="E296" s="103">
        <f t="shared" si="111"/>
        <v>1.5326659417250095</v>
      </c>
      <c r="F296" s="101">
        <f t="shared" si="112"/>
        <v>1487.2679958087267</v>
      </c>
      <c r="G296" s="104">
        <f t="shared" si="113"/>
        <v>1.5701239529670687</v>
      </c>
      <c r="H296" s="113">
        <f t="shared" si="114"/>
        <v>2.1109702639414811</v>
      </c>
      <c r="I296" s="114">
        <f t="shared" si="115"/>
        <v>1.0772910454475693</v>
      </c>
      <c r="J296" s="101">
        <f t="shared" si="116"/>
        <v>1.0000768013942229</v>
      </c>
      <c r="K296" s="104">
        <f t="shared" si="117"/>
        <v>1.2393262618573989E-2</v>
      </c>
      <c r="L296" s="102">
        <f t="shared" si="118"/>
        <v>1</v>
      </c>
      <c r="M296" s="103">
        <f t="shared" si="119"/>
        <v>6.5067960108453754E-10</v>
      </c>
      <c r="N296" s="101">
        <f t="shared" si="120"/>
        <v>1</v>
      </c>
      <c r="O296" s="104">
        <f t="shared" si="121"/>
        <v>1.0410873617352601E-10</v>
      </c>
      <c r="P296" s="105">
        <f t="shared" ca="1" si="122"/>
        <v>1.4864366889565521</v>
      </c>
      <c r="Q296" s="106">
        <f t="shared" ca="1" si="123"/>
        <v>0.86771228164005809</v>
      </c>
      <c r="R296" s="107">
        <f t="shared" ca="1" si="124"/>
        <v>-19.928560156809368</v>
      </c>
      <c r="S296" s="108">
        <f t="shared" ca="1" si="125"/>
        <v>-80.791646823378642</v>
      </c>
      <c r="T296" s="116">
        <f t="shared" ca="1" si="126"/>
        <v>99.208353176621358</v>
      </c>
      <c r="V296" s="72">
        <f t="shared" ca="1" si="127"/>
        <v>19725.5</v>
      </c>
      <c r="W296" s="72">
        <f t="shared" si="128"/>
        <v>389095350.25</v>
      </c>
      <c r="Y296" s="110">
        <f t="shared" si="129"/>
        <v>7.1235902529829058</v>
      </c>
      <c r="Z296" s="111">
        <f t="shared" si="130"/>
        <v>-28.947327250231023</v>
      </c>
      <c r="AA296" s="72">
        <f t="shared" si="131"/>
        <v>151.05267274976899</v>
      </c>
      <c r="AB296" s="110">
        <f t="shared" ca="1" si="132"/>
        <v>-11.134550062910771</v>
      </c>
      <c r="AC296" s="111">
        <f t="shared" ca="1" si="133"/>
        <v>-51.844319573147594</v>
      </c>
      <c r="AD296" s="72">
        <f t="shared" ca="1" si="134"/>
        <v>128.1556804268524</v>
      </c>
    </row>
    <row r="297" spans="1:30">
      <c r="A297" s="118">
        <v>19839.25</v>
      </c>
      <c r="B297" s="101">
        <f t="shared" ca="1" si="108"/>
        <v>1017.3722388224942</v>
      </c>
      <c r="C297" s="102">
        <f t="shared" ca="1" si="109"/>
        <v>1.5698134022340879</v>
      </c>
      <c r="D297" s="102">
        <f t="shared" si="110"/>
        <v>26.383212414660584</v>
      </c>
      <c r="E297" s="103">
        <f t="shared" si="111"/>
        <v>1.5328843554479665</v>
      </c>
      <c r="F297" s="101">
        <f t="shared" si="112"/>
        <v>1495.8445418156714</v>
      </c>
      <c r="G297" s="104">
        <f t="shared" si="113"/>
        <v>1.5701278080775221</v>
      </c>
      <c r="H297" s="113">
        <f t="shared" si="114"/>
        <v>2.1204178145473089</v>
      </c>
      <c r="I297" s="114">
        <f t="shared" si="115"/>
        <v>1.0796861219362215</v>
      </c>
      <c r="J297" s="101">
        <f t="shared" si="116"/>
        <v>1.000077689686784</v>
      </c>
      <c r="K297" s="104">
        <f t="shared" si="117"/>
        <v>1.2464722811033556E-2</v>
      </c>
      <c r="L297" s="102">
        <f t="shared" si="118"/>
        <v>1</v>
      </c>
      <c r="M297" s="103">
        <f t="shared" si="119"/>
        <v>6.5443184080588134E-10</v>
      </c>
      <c r="N297" s="101">
        <f t="shared" si="120"/>
        <v>1</v>
      </c>
      <c r="O297" s="104">
        <f t="shared" si="121"/>
        <v>1.04709094528941E-10</v>
      </c>
      <c r="P297" s="105">
        <f t="shared" ca="1" si="122"/>
        <v>1.4911409777772373</v>
      </c>
      <c r="Q297" s="106">
        <f t="shared" ca="1" si="123"/>
        <v>0.87077789252229598</v>
      </c>
      <c r="R297" s="107">
        <f t="shared" ca="1" si="124"/>
        <v>-19.967243765532288</v>
      </c>
      <c r="S297" s="108">
        <f t="shared" ca="1" si="125"/>
        <v>-80.822191441014908</v>
      </c>
      <c r="T297" s="116">
        <f t="shared" ca="1" si="126"/>
        <v>99.177808558985092</v>
      </c>
      <c r="V297" s="72">
        <f t="shared" ca="1" si="127"/>
        <v>19839.25</v>
      </c>
      <c r="W297" s="72">
        <f t="shared" si="128"/>
        <v>393595840.5625</v>
      </c>
      <c r="Y297" s="110">
        <f t="shared" si="129"/>
        <v>7.1124245389536433</v>
      </c>
      <c r="Z297" s="111">
        <f t="shared" si="130"/>
        <v>-28.81441472447742</v>
      </c>
      <c r="AA297" s="72">
        <f t="shared" si="131"/>
        <v>151.18558527552258</v>
      </c>
      <c r="AB297" s="110">
        <f t="shared" ca="1" si="132"/>
        <v>-11.162067957604426</v>
      </c>
      <c r="AC297" s="111">
        <f t="shared" ca="1" si="133"/>
        <v>-52.007776716537435</v>
      </c>
      <c r="AD297" s="72">
        <f t="shared" ca="1" si="134"/>
        <v>127.99222328346256</v>
      </c>
    </row>
    <row r="298" spans="1:30">
      <c r="A298" s="118">
        <v>19953</v>
      </c>
      <c r="B298" s="101">
        <f t="shared" ca="1" si="108"/>
        <v>1023.2054220666748</v>
      </c>
      <c r="C298" s="102">
        <f t="shared" ca="1" si="109"/>
        <v>1.5698190057822958</v>
      </c>
      <c r="D298" s="102">
        <f t="shared" si="110"/>
        <v>26.534266069937043</v>
      </c>
      <c r="E298" s="103">
        <f t="shared" si="111"/>
        <v>1.5331002824199609</v>
      </c>
      <c r="F298" s="101">
        <f t="shared" si="112"/>
        <v>1504.4210878445936</v>
      </c>
      <c r="G298" s="104">
        <f t="shared" si="113"/>
        <v>1.570131619232819</v>
      </c>
      <c r="H298" s="113">
        <f t="shared" si="114"/>
        <v>2.129877420750836</v>
      </c>
      <c r="I298" s="114">
        <f t="shared" si="115"/>
        <v>1.0820599370265698</v>
      </c>
      <c r="J298" s="101">
        <f t="shared" si="116"/>
        <v>1.0000785830862919</v>
      </c>
      <c r="K298" s="104">
        <f t="shared" si="117"/>
        <v>1.2536182876183069E-2</v>
      </c>
      <c r="L298" s="102">
        <f t="shared" si="118"/>
        <v>1</v>
      </c>
      <c r="M298" s="103">
        <f t="shared" si="119"/>
        <v>6.5818408052722504E-10</v>
      </c>
      <c r="N298" s="101">
        <f t="shared" si="120"/>
        <v>1</v>
      </c>
      <c r="O298" s="104">
        <f t="shared" si="121"/>
        <v>1.0530945288435601E-10</v>
      </c>
      <c r="P298" s="105">
        <f t="shared" ca="1" si="122"/>
        <v>1.495857530964364</v>
      </c>
      <c r="Q298" s="106">
        <f t="shared" ca="1" si="123"/>
        <v>0.87382551941995368</v>
      </c>
      <c r="R298" s="107">
        <f t="shared" ca="1" si="124"/>
        <v>-20.005748676584552</v>
      </c>
      <c r="S298" s="108">
        <f t="shared" ca="1" si="125"/>
        <v>-80.853060092349125</v>
      </c>
      <c r="T298" s="116">
        <f t="shared" ca="1" si="126"/>
        <v>99.146939907650875</v>
      </c>
      <c r="V298" s="72">
        <f t="shared" ca="1" si="127"/>
        <v>19953</v>
      </c>
      <c r="W298" s="72">
        <f t="shared" si="128"/>
        <v>398122209</v>
      </c>
      <c r="Y298" s="110">
        <f t="shared" si="129"/>
        <v>7.1014210584058812</v>
      </c>
      <c r="Z298" s="111">
        <f t="shared" si="130"/>
        <v>-28.682717861375295</v>
      </c>
      <c r="AA298" s="72">
        <f t="shared" si="131"/>
        <v>151.31728213862471</v>
      </c>
      <c r="AB298" s="110">
        <f t="shared" ca="1" si="132"/>
        <v>-11.189569388108929</v>
      </c>
      <c r="AC298" s="111">
        <f t="shared" ca="1" si="133"/>
        <v>-52.170342230973816</v>
      </c>
      <c r="AD298" s="72">
        <f t="shared" ca="1" si="134"/>
        <v>127.82965776902618</v>
      </c>
    </row>
    <row r="299" spans="1:30">
      <c r="A299" s="118">
        <v>20069</v>
      </c>
      <c r="B299" s="101">
        <f t="shared" ca="1" si="108"/>
        <v>1029.1539869901528</v>
      </c>
      <c r="C299" s="102">
        <f t="shared" ca="1" si="109"/>
        <v>1.5698246547516463</v>
      </c>
      <c r="D299" s="102">
        <f t="shared" si="110"/>
        <v>26.68830885924255</v>
      </c>
      <c r="E299" s="103">
        <f t="shared" si="111"/>
        <v>1.5333179632062779</v>
      </c>
      <c r="F299" s="101">
        <f t="shared" si="112"/>
        <v>1513.1672798611696</v>
      </c>
      <c r="G299" s="104">
        <f t="shared" si="113"/>
        <v>1.5701354612804888</v>
      </c>
      <c r="H299" s="113">
        <f t="shared" si="114"/>
        <v>2.1395363899257074</v>
      </c>
      <c r="I299" s="114">
        <f t="shared" si="115"/>
        <v>1.0844590751157412</v>
      </c>
      <c r="J299" s="101">
        <f t="shared" si="116"/>
        <v>1.0000794994168949</v>
      </c>
      <c r="K299" s="104">
        <f t="shared" si="117"/>
        <v>1.2609056305258231E-2</v>
      </c>
      <c r="L299" s="102">
        <f t="shared" si="118"/>
        <v>1</v>
      </c>
      <c r="M299" s="103">
        <f t="shared" si="119"/>
        <v>6.6201054037492509E-10</v>
      </c>
      <c r="N299" s="101">
        <f t="shared" si="120"/>
        <v>1</v>
      </c>
      <c r="O299" s="104">
        <f t="shared" si="121"/>
        <v>1.05921686459988E-10</v>
      </c>
      <c r="P299" s="105">
        <f t="shared" ca="1" si="122"/>
        <v>1.5006798918120754</v>
      </c>
      <c r="Q299" s="106">
        <f t="shared" ca="1" si="123"/>
        <v>0.87691503584534092</v>
      </c>
      <c r="R299" s="107">
        <f t="shared" ca="1" si="124"/>
        <v>-20.044833536237757</v>
      </c>
      <c r="S299" s="108">
        <f t="shared" ca="1" si="125"/>
        <v>-80.884862801939917</v>
      </c>
      <c r="T299" s="116">
        <f t="shared" ca="1" si="126"/>
        <v>99.115137198060083</v>
      </c>
      <c r="V299" s="72">
        <f t="shared" ca="1" si="127"/>
        <v>20069</v>
      </c>
      <c r="W299" s="72">
        <f t="shared" si="128"/>
        <v>402764761</v>
      </c>
      <c r="Y299" s="110">
        <f t="shared" si="129"/>
        <v>7.0903638733180117</v>
      </c>
      <c r="Z299" s="111">
        <f t="shared" si="130"/>
        <v>-28.549652847101317</v>
      </c>
      <c r="AA299" s="72">
        <f t="shared" si="131"/>
        <v>151.45034715289867</v>
      </c>
      <c r="AB299" s="110">
        <f t="shared" ca="1" si="132"/>
        <v>-11.217597062674265</v>
      </c>
      <c r="AC299" s="111">
        <f t="shared" ca="1" si="133"/>
        <v>-52.335209954838561</v>
      </c>
      <c r="AD299" s="72">
        <f t="shared" ca="1" si="134"/>
        <v>127.66479004516144</v>
      </c>
    </row>
    <row r="300" spans="1:30">
      <c r="A300" s="118">
        <v>20185</v>
      </c>
      <c r="B300" s="101">
        <f t="shared" ca="1" si="108"/>
        <v>1035.1025519460943</v>
      </c>
      <c r="C300" s="102">
        <f t="shared" ca="1" si="109"/>
        <v>1.5698302387935925</v>
      </c>
      <c r="D300" s="102">
        <f t="shared" si="110"/>
        <v>26.842352898656699</v>
      </c>
      <c r="E300" s="103">
        <f t="shared" si="111"/>
        <v>1.5335331455311367</v>
      </c>
      <c r="F300" s="101">
        <f t="shared" si="112"/>
        <v>1521.913471899825</v>
      </c>
      <c r="G300" s="104">
        <f t="shared" si="113"/>
        <v>1.5701392591688981</v>
      </c>
      <c r="H300" s="113">
        <f t="shared" si="114"/>
        <v>2.1492075632479417</v>
      </c>
      <c r="I300" s="114">
        <f t="shared" si="115"/>
        <v>1.0868366351266909</v>
      </c>
      <c r="J300" s="101">
        <f t="shared" si="116"/>
        <v>1.0000804210584471</v>
      </c>
      <c r="K300" s="104">
        <f t="shared" si="117"/>
        <v>1.268192960040483E-2</v>
      </c>
      <c r="L300" s="102">
        <f t="shared" si="118"/>
        <v>1</v>
      </c>
      <c r="M300" s="103">
        <f t="shared" si="119"/>
        <v>6.6583700022262504E-10</v>
      </c>
      <c r="N300" s="101">
        <f t="shared" si="120"/>
        <v>1</v>
      </c>
      <c r="O300" s="104">
        <f t="shared" si="121"/>
        <v>1.0653392003562001E-10</v>
      </c>
      <c r="P300" s="105">
        <f t="shared" ca="1" si="122"/>
        <v>1.5055147702419851</v>
      </c>
      <c r="Q300" s="106">
        <f t="shared" ca="1" si="123"/>
        <v>0.87998610849895664</v>
      </c>
      <c r="R300" s="107">
        <f t="shared" ca="1" si="124"/>
        <v>-20.083737260499504</v>
      </c>
      <c r="S300" s="108">
        <f t="shared" ca="1" si="125"/>
        <v>-80.916981987480156</v>
      </c>
      <c r="T300" s="116">
        <f t="shared" ca="1" si="126"/>
        <v>99.083018012519844</v>
      </c>
      <c r="V300" s="72">
        <f t="shared" ca="1" si="127"/>
        <v>20185</v>
      </c>
      <c r="W300" s="72">
        <f t="shared" si="128"/>
        <v>407434225</v>
      </c>
      <c r="Y300" s="110">
        <f t="shared" si="129"/>
        <v>7.0794691290230771</v>
      </c>
      <c r="Z300" s="111">
        <f t="shared" si="130"/>
        <v>-28.417821627828037</v>
      </c>
      <c r="AA300" s="72">
        <f t="shared" si="131"/>
        <v>151.58217837217197</v>
      </c>
      <c r="AB300" s="110">
        <f t="shared" ca="1" si="132"/>
        <v>-11.245606042641077</v>
      </c>
      <c r="AC300" s="111">
        <f t="shared" ca="1" si="133"/>
        <v>-52.499160359652045</v>
      </c>
      <c r="AD300" s="72">
        <f t="shared" ca="1" si="134"/>
        <v>127.50083964034795</v>
      </c>
    </row>
    <row r="301" spans="1:30">
      <c r="A301" s="118">
        <v>20301</v>
      </c>
      <c r="B301" s="101">
        <f t="shared" ca="1" si="108"/>
        <v>1041.0511169339434</v>
      </c>
      <c r="C301" s="102">
        <f t="shared" ca="1" si="109"/>
        <v>1.5698357590211192</v>
      </c>
      <c r="D301" s="102">
        <f t="shared" si="110"/>
        <v>26.99639816677977</v>
      </c>
      <c r="E301" s="103">
        <f t="shared" si="111"/>
        <v>1.533745872144161</v>
      </c>
      <c r="F301" s="101">
        <f t="shared" si="112"/>
        <v>1530.6596639601819</v>
      </c>
      <c r="G301" s="104">
        <f t="shared" si="113"/>
        <v>1.5701430136550252</v>
      </c>
      <c r="H301" s="113">
        <f t="shared" si="114"/>
        <v>2.1588907767049523</v>
      </c>
      <c r="I301" s="114">
        <f t="shared" si="115"/>
        <v>1.0891928803485444</v>
      </c>
      <c r="J301" s="101">
        <f t="shared" si="116"/>
        <v>1.0000813480109336</v>
      </c>
      <c r="K301" s="104">
        <f t="shared" si="117"/>
        <v>1.2754802760849249E-2</v>
      </c>
      <c r="L301" s="102">
        <f t="shared" si="118"/>
        <v>1</v>
      </c>
      <c r="M301" s="103">
        <f t="shared" si="119"/>
        <v>6.6966346007032508E-10</v>
      </c>
      <c r="N301" s="101">
        <f t="shared" si="120"/>
        <v>1</v>
      </c>
      <c r="O301" s="104">
        <f t="shared" si="121"/>
        <v>1.0714615361125201E-10</v>
      </c>
      <c r="P301" s="105">
        <f t="shared" ca="1" si="122"/>
        <v>1.510362048538596</v>
      </c>
      <c r="Q301" s="106">
        <f t="shared" ca="1" si="123"/>
        <v>0.88303886733102865</v>
      </c>
      <c r="R301" s="107">
        <f t="shared" ca="1" si="124"/>
        <v>-20.122462141237939</v>
      </c>
      <c r="S301" s="108">
        <f t="shared" ca="1" si="125"/>
        <v>-80.94940766693729</v>
      </c>
      <c r="T301" s="116">
        <f t="shared" ca="1" si="126"/>
        <v>99.05059233306271</v>
      </c>
      <c r="V301" s="72">
        <f t="shared" ca="1" si="127"/>
        <v>20301</v>
      </c>
      <c r="W301" s="72">
        <f t="shared" si="128"/>
        <v>412130601</v>
      </c>
      <c r="Y301" s="110">
        <f t="shared" si="129"/>
        <v>7.0687337645955211</v>
      </c>
      <c r="Z301" s="111">
        <f t="shared" si="130"/>
        <v>-28.28720916152712</v>
      </c>
      <c r="AA301" s="72">
        <f t="shared" si="131"/>
        <v>151.71279083847287</v>
      </c>
      <c r="AB301" s="110">
        <f t="shared" ca="1" si="132"/>
        <v>-11.273595558951959</v>
      </c>
      <c r="AC301" s="111">
        <f t="shared" ca="1" si="133"/>
        <v>-52.662198505410181</v>
      </c>
      <c r="AD301" s="72">
        <f t="shared" ca="1" si="134"/>
        <v>127.33780149458983</v>
      </c>
    </row>
    <row r="302" spans="1:30">
      <c r="A302" s="118">
        <v>20417</v>
      </c>
      <c r="B302" s="101">
        <f t="shared" ca="1" si="108"/>
        <v>1046.9996819531555</v>
      </c>
      <c r="C302" s="102">
        <f t="shared" ca="1" si="109"/>
        <v>1.5698412165219175</v>
      </c>
      <c r="D302" s="102">
        <f t="shared" si="110"/>
        <v>27.150444642697536</v>
      </c>
      <c r="E302" s="103">
        <f t="shared" si="111"/>
        <v>1.5339561848256624</v>
      </c>
      <c r="F302" s="101">
        <f t="shared" si="112"/>
        <v>1539.4058560418698</v>
      </c>
      <c r="G302" s="104">
        <f t="shared" si="113"/>
        <v>1.570146725478645</v>
      </c>
      <c r="H302" s="113">
        <f t="shared" si="114"/>
        <v>2.1685858690111863</v>
      </c>
      <c r="I302" s="114">
        <f t="shared" si="115"/>
        <v>1.0915280703175785</v>
      </c>
      <c r="J302" s="101">
        <f t="shared" si="116"/>
        <v>1.0000822802743399</v>
      </c>
      <c r="K302" s="104">
        <f t="shared" si="117"/>
        <v>1.2827675785817876E-2</v>
      </c>
      <c r="L302" s="102">
        <f t="shared" si="118"/>
        <v>1</v>
      </c>
      <c r="M302" s="103">
        <f t="shared" si="119"/>
        <v>6.7348991991802503E-10</v>
      </c>
      <c r="N302" s="101">
        <f t="shared" si="120"/>
        <v>1</v>
      </c>
      <c r="O302" s="104">
        <f t="shared" si="121"/>
        <v>1.07758387186884E-10</v>
      </c>
      <c r="P302" s="105">
        <f t="shared" ca="1" si="122"/>
        <v>1.5152216102007048</v>
      </c>
      <c r="Q302" s="106">
        <f t="shared" ca="1" si="123"/>
        <v>0.8860734418201669</v>
      </c>
      <c r="R302" s="107">
        <f t="shared" ca="1" si="124"/>
        <v>-20.161010417458677</v>
      </c>
      <c r="S302" s="108">
        <f t="shared" ca="1" si="125"/>
        <v>-80.982130099382388</v>
      </c>
      <c r="T302" s="116">
        <f t="shared" ca="1" si="126"/>
        <v>99.017869900617612</v>
      </c>
      <c r="V302" s="72">
        <f t="shared" ca="1" si="127"/>
        <v>20417</v>
      </c>
      <c r="W302" s="72">
        <f t="shared" si="128"/>
        <v>416853889</v>
      </c>
      <c r="Y302" s="110">
        <f t="shared" si="129"/>
        <v>7.0581547884197402</v>
      </c>
      <c r="Z302" s="111">
        <f t="shared" si="130"/>
        <v>-28.157800620206924</v>
      </c>
      <c r="AA302" s="72">
        <f t="shared" si="131"/>
        <v>151.84219937979307</v>
      </c>
      <c r="AB302" s="110">
        <f t="shared" ca="1" si="132"/>
        <v>-11.301564858996915</v>
      </c>
      <c r="AC302" s="111">
        <f t="shared" ca="1" si="133"/>
        <v>-52.824329479175454</v>
      </c>
      <c r="AD302" s="72">
        <f t="shared" ca="1" si="134"/>
        <v>127.17567052082455</v>
      </c>
    </row>
    <row r="303" spans="1:30">
      <c r="A303" s="118">
        <v>20536</v>
      </c>
      <c r="B303" s="101">
        <f t="shared" ca="1" si="108"/>
        <v>1053.102089203174</v>
      </c>
      <c r="C303" s="102">
        <f t="shared" ca="1" si="109"/>
        <v>1.5698467510979772</v>
      </c>
      <c r="D303" s="102">
        <f t="shared" si="110"/>
        <v>27.308476312829836</v>
      </c>
      <c r="E303" s="103">
        <f t="shared" si="111"/>
        <v>1.5341694710413416</v>
      </c>
      <c r="F303" s="101">
        <f t="shared" si="112"/>
        <v>1548.3782427681469</v>
      </c>
      <c r="G303" s="104">
        <f t="shared" si="113"/>
        <v>1.5701504897236331</v>
      </c>
      <c r="H303" s="113">
        <f t="shared" si="114"/>
        <v>2.1785438738832008</v>
      </c>
      <c r="I303" s="114">
        <f t="shared" si="115"/>
        <v>1.0939020421523307</v>
      </c>
      <c r="J303" s="101">
        <f t="shared" si="116"/>
        <v>1.0000832421667138</v>
      </c>
      <c r="K303" s="104">
        <f t="shared" si="117"/>
        <v>1.2902433316396544E-2</v>
      </c>
      <c r="L303" s="102">
        <f t="shared" si="118"/>
        <v>1</v>
      </c>
      <c r="M303" s="103">
        <f t="shared" si="119"/>
        <v>6.7741533993420011E-10</v>
      </c>
      <c r="N303" s="101">
        <f t="shared" si="120"/>
        <v>1</v>
      </c>
      <c r="O303" s="104">
        <f t="shared" si="121"/>
        <v>1.08386454389472E-10</v>
      </c>
      <c r="P303" s="105">
        <f t="shared" ca="1" si="122"/>
        <v>1.5202194933320587</v>
      </c>
      <c r="Q303" s="106">
        <f t="shared" ca="1" si="123"/>
        <v>0.88916773602266519</v>
      </c>
      <c r="R303" s="107">
        <f t="shared" ca="1" si="124"/>
        <v>-20.200374409815623</v>
      </c>
      <c r="S303" s="108">
        <f t="shared" ca="1" si="125"/>
        <v>-81.015997204995571</v>
      </c>
      <c r="T303" s="116">
        <f t="shared" ca="1" si="126"/>
        <v>98.984002795004429</v>
      </c>
      <c r="V303" s="72">
        <f t="shared" ca="1" si="127"/>
        <v>20536</v>
      </c>
      <c r="W303" s="72">
        <f t="shared" si="128"/>
        <v>421727296</v>
      </c>
      <c r="Y303" s="110">
        <f t="shared" si="129"/>
        <v>7.0474616610914254</v>
      </c>
      <c r="Z303" s="111">
        <f t="shared" si="130"/>
        <v>-28.026281019393338</v>
      </c>
      <c r="AA303" s="72">
        <f t="shared" si="131"/>
        <v>151.97371898060666</v>
      </c>
      <c r="AB303" s="110">
        <f t="shared" ca="1" si="132"/>
        <v>-11.330235724025545</v>
      </c>
      <c r="AC303" s="111">
        <f t="shared" ca="1" si="133"/>
        <v>-52.989716185602262</v>
      </c>
      <c r="AD303" s="72">
        <f t="shared" ca="1" si="134"/>
        <v>127.01028381439774</v>
      </c>
    </row>
    <row r="304" spans="1:30">
      <c r="A304" s="118">
        <v>20655</v>
      </c>
      <c r="B304" s="101">
        <f t="shared" ca="1" si="108"/>
        <v>1059.2044964850788</v>
      </c>
      <c r="C304" s="102">
        <f t="shared" ca="1" si="109"/>
        <v>1.5698522219012012</v>
      </c>
      <c r="D304" s="102">
        <f t="shared" si="110"/>
        <v>27.46650921095695</v>
      </c>
      <c r="E304" s="103">
        <f t="shared" si="111"/>
        <v>1.5343803029146741</v>
      </c>
      <c r="F304" s="101">
        <f t="shared" si="112"/>
        <v>1557.3506295161114</v>
      </c>
      <c r="G304" s="104">
        <f t="shared" si="113"/>
        <v>1.5701542105946229</v>
      </c>
      <c r="H304" s="113">
        <f t="shared" si="114"/>
        <v>2.1885140446967051</v>
      </c>
      <c r="I304" s="114">
        <f t="shared" si="115"/>
        <v>1.0962543970294154</v>
      </c>
      <c r="J304" s="101">
        <f t="shared" si="116"/>
        <v>1.0000842096482305</v>
      </c>
      <c r="K304" s="104">
        <f t="shared" si="117"/>
        <v>1.2977190702752127E-2</v>
      </c>
      <c r="L304" s="102">
        <f t="shared" si="118"/>
        <v>1</v>
      </c>
      <c r="M304" s="103">
        <f t="shared" si="119"/>
        <v>6.8134075995037508E-10</v>
      </c>
      <c r="N304" s="101">
        <f t="shared" si="120"/>
        <v>1</v>
      </c>
      <c r="O304" s="104">
        <f t="shared" si="121"/>
        <v>1.0901452159206E-10</v>
      </c>
      <c r="P304" s="105">
        <f t="shared" ca="1" si="122"/>
        <v>1.5252300588894945</v>
      </c>
      <c r="Q304" s="106">
        <f t="shared" ca="1" si="123"/>
        <v>0.89224316760583045</v>
      </c>
      <c r="R304" s="107">
        <f t="shared" ca="1" si="124"/>
        <v>-20.239557154398877</v>
      </c>
      <c r="S304" s="108">
        <f t="shared" ca="1" si="125"/>
        <v>-81.050156598704277</v>
      </c>
      <c r="T304" s="116">
        <f t="shared" ca="1" si="126"/>
        <v>98.949843401295723</v>
      </c>
      <c r="V304" s="72">
        <f t="shared" ca="1" si="127"/>
        <v>20655</v>
      </c>
      <c r="W304" s="72">
        <f t="shared" si="128"/>
        <v>426629025</v>
      </c>
      <c r="Y304" s="110">
        <f t="shared" si="129"/>
        <v>7.0369269535996981</v>
      </c>
      <c r="Z304" s="111">
        <f t="shared" si="130"/>
        <v>-27.895997485610998</v>
      </c>
      <c r="AA304" s="72">
        <f t="shared" si="131"/>
        <v>152.10400251438901</v>
      </c>
      <c r="AB304" s="110">
        <f t="shared" ca="1" si="132"/>
        <v>-11.35888376111707</v>
      </c>
      <c r="AC304" s="111">
        <f t="shared" ca="1" si="133"/>
        <v>-53.154159113093272</v>
      </c>
      <c r="AD304" s="72">
        <f t="shared" ca="1" si="134"/>
        <v>126.84584088690673</v>
      </c>
    </row>
    <row r="305" spans="1:30">
      <c r="A305" s="118">
        <v>20774</v>
      </c>
      <c r="B305" s="101">
        <f t="shared" ca="1" si="108"/>
        <v>1065.3069037983223</v>
      </c>
      <c r="C305" s="102">
        <f t="shared" ca="1" si="109"/>
        <v>1.5698576300275209</v>
      </c>
      <c r="D305" s="102">
        <f t="shared" si="110"/>
        <v>27.624543316003759</v>
      </c>
      <c r="E305" s="103">
        <f t="shared" si="111"/>
        <v>1.5345887225490569</v>
      </c>
      <c r="F305" s="101">
        <f t="shared" si="112"/>
        <v>1566.3230162853899</v>
      </c>
      <c r="G305" s="104">
        <f t="shared" si="113"/>
        <v>1.5701578888369936</v>
      </c>
      <c r="H305" s="113">
        <f t="shared" si="114"/>
        <v>2.1984962159342296</v>
      </c>
      <c r="I305" s="114">
        <f t="shared" si="115"/>
        <v>1.098585403189049</v>
      </c>
      <c r="J305" s="101">
        <f t="shared" si="116"/>
        <v>1.0000851827188739</v>
      </c>
      <c r="K305" s="104">
        <f t="shared" si="117"/>
        <v>1.3051947944049461E-2</v>
      </c>
      <c r="L305" s="102">
        <f t="shared" si="118"/>
        <v>1</v>
      </c>
      <c r="M305" s="103">
        <f t="shared" si="119"/>
        <v>6.8526617996655005E-10</v>
      </c>
      <c r="N305" s="101">
        <f t="shared" si="120"/>
        <v>1</v>
      </c>
      <c r="O305" s="104">
        <f t="shared" si="121"/>
        <v>1.09642588794648E-10</v>
      </c>
      <c r="P305" s="105">
        <f t="shared" ca="1" si="122"/>
        <v>1.5302531850150265</v>
      </c>
      <c r="Q305" s="106">
        <f t="shared" ca="1" si="123"/>
        <v>0.89529987470416139</v>
      </c>
      <c r="R305" s="107">
        <f t="shared" ca="1" si="124"/>
        <v>-20.278560905230101</v>
      </c>
      <c r="S305" s="108">
        <f t="shared" ca="1" si="125"/>
        <v>-81.084598519104432</v>
      </c>
      <c r="T305" s="116">
        <f t="shared" ca="1" si="126"/>
        <v>98.915401480895568</v>
      </c>
      <c r="V305" s="72">
        <f t="shared" ca="1" si="127"/>
        <v>20774</v>
      </c>
      <c r="W305" s="72">
        <f t="shared" si="128"/>
        <v>431559076</v>
      </c>
      <c r="Y305" s="110">
        <f t="shared" si="129"/>
        <v>7.0265476517693202</v>
      </c>
      <c r="Z305" s="111">
        <f t="shared" si="130"/>
        <v>-27.766934692486831</v>
      </c>
      <c r="AA305" s="72">
        <f t="shared" si="131"/>
        <v>152.23306530751316</v>
      </c>
      <c r="AB305" s="110">
        <f t="shared" ca="1" si="132"/>
        <v>-11.387508210117918</v>
      </c>
      <c r="AC305" s="111">
        <f t="shared" ca="1" si="133"/>
        <v>-53.317663826617547</v>
      </c>
      <c r="AD305" s="72">
        <f t="shared" ca="1" si="134"/>
        <v>126.68233617338245</v>
      </c>
    </row>
    <row r="306" spans="1:30">
      <c r="A306" s="118">
        <v>20893</v>
      </c>
      <c r="B306" s="101">
        <f t="shared" ca="1" si="108"/>
        <v>1071.4093111423688</v>
      </c>
      <c r="C306" s="102">
        <f t="shared" ca="1" si="109"/>
        <v>1.5698629765478989</v>
      </c>
      <c r="D306" s="102">
        <f t="shared" si="110"/>
        <v>27.782578607374489</v>
      </c>
      <c r="E306" s="103">
        <f t="shared" si="111"/>
        <v>1.5347947710907521</v>
      </c>
      <c r="F306" s="101">
        <f t="shared" si="112"/>
        <v>1575.2954030756187</v>
      </c>
      <c r="G306" s="104">
        <f t="shared" si="113"/>
        <v>1.5701615251791428</v>
      </c>
      <c r="H306" s="113">
        <f t="shared" si="114"/>
        <v>2.208490224873366</v>
      </c>
      <c r="I306" s="114">
        <f t="shared" si="115"/>
        <v>1.1008953249527864</v>
      </c>
      <c r="J306" s="101">
        <f t="shared" si="116"/>
        <v>1.0000861613786276</v>
      </c>
      <c r="K306" s="104">
        <f t="shared" si="117"/>
        <v>1.3126705039453384E-2</v>
      </c>
      <c r="L306" s="102">
        <f t="shared" si="118"/>
        <v>1</v>
      </c>
      <c r="M306" s="103">
        <f t="shared" si="119"/>
        <v>6.8919159998272502E-10</v>
      </c>
      <c r="N306" s="101">
        <f t="shared" si="120"/>
        <v>1</v>
      </c>
      <c r="O306" s="104">
        <f t="shared" si="121"/>
        <v>1.10270655997236E-10</v>
      </c>
      <c r="P306" s="105">
        <f t="shared" ca="1" si="122"/>
        <v>1.5352887511508253</v>
      </c>
      <c r="Q306" s="106">
        <f t="shared" ca="1" si="123"/>
        <v>0.89833799486155219</v>
      </c>
      <c r="R306" s="107">
        <f t="shared" ca="1" si="124"/>
        <v>-20.31738786449192</v>
      </c>
      <c r="S306" s="108">
        <f t="shared" ca="1" si="125"/>
        <v>-81.119313447911736</v>
      </c>
      <c r="T306" s="116">
        <f t="shared" ca="1" si="126"/>
        <v>98.880686552088264</v>
      </c>
      <c r="V306" s="72">
        <f t="shared" ca="1" si="127"/>
        <v>20893</v>
      </c>
      <c r="W306" s="72">
        <f t="shared" si="128"/>
        <v>436517449</v>
      </c>
      <c r="Y306" s="110">
        <f t="shared" si="129"/>
        <v>7.016320810411143</v>
      </c>
      <c r="Z306" s="111">
        <f t="shared" si="130"/>
        <v>-27.639077537197572</v>
      </c>
      <c r="AA306" s="72">
        <f t="shared" si="131"/>
        <v>152.36092246280242</v>
      </c>
      <c r="AB306" s="110">
        <f t="shared" ca="1" si="132"/>
        <v>-11.416108328021554</v>
      </c>
      <c r="AC306" s="111">
        <f t="shared" ca="1" si="133"/>
        <v>-53.4802359107142</v>
      </c>
      <c r="AD306" s="72">
        <f t="shared" ca="1" si="134"/>
        <v>126.5197640892858</v>
      </c>
    </row>
    <row r="307" spans="1:30">
      <c r="A307" s="118">
        <v>21014.75</v>
      </c>
      <c r="B307" s="101">
        <f t="shared" ca="1" si="108"/>
        <v>1077.6527405362031</v>
      </c>
      <c r="C307" s="102">
        <f t="shared" ca="1" si="109"/>
        <v>1.5698683839558931</v>
      </c>
      <c r="D307" s="102">
        <f t="shared" si="110"/>
        <v>27.944267181578738</v>
      </c>
      <c r="E307" s="103">
        <f t="shared" si="111"/>
        <v>1.5350031692774375</v>
      </c>
      <c r="F307" s="101">
        <f t="shared" si="112"/>
        <v>1584.4751349600417</v>
      </c>
      <c r="G307" s="104">
        <f t="shared" si="113"/>
        <v>1.5701652029329172</v>
      </c>
      <c r="H307" s="113">
        <f t="shared" si="114"/>
        <v>2.2187272721746645</v>
      </c>
      <c r="I307" s="114">
        <f t="shared" si="115"/>
        <v>1.1032370779821743</v>
      </c>
      <c r="J307" s="101">
        <f t="shared" si="116"/>
        <v>1.0000871684387937</v>
      </c>
      <c r="K307" s="104">
        <f t="shared" si="117"/>
        <v>1.3203189562932536E-2</v>
      </c>
      <c r="L307" s="102">
        <f t="shared" si="118"/>
        <v>1</v>
      </c>
      <c r="M307" s="103">
        <f t="shared" si="119"/>
        <v>6.932077334866688E-10</v>
      </c>
      <c r="N307" s="101">
        <f t="shared" si="120"/>
        <v>1</v>
      </c>
      <c r="O307" s="104">
        <f t="shared" si="121"/>
        <v>1.1091323735786701E-10</v>
      </c>
      <c r="P307" s="105">
        <f t="shared" ca="1" si="122"/>
        <v>1.5404534355840505</v>
      </c>
      <c r="Q307" s="106">
        <f t="shared" ca="1" si="123"/>
        <v>0.90142723028803573</v>
      </c>
      <c r="R307" s="107">
        <f t="shared" ca="1" si="124"/>
        <v>-20.356931362292098</v>
      </c>
      <c r="S307" s="108">
        <f t="shared" ca="1" si="125"/>
        <v>-81.155103479636978</v>
      </c>
      <c r="T307" s="116">
        <f t="shared" ca="1" si="126"/>
        <v>98.844896520363022</v>
      </c>
      <c r="V307" s="72">
        <f t="shared" ca="1" si="127"/>
        <v>21014.75</v>
      </c>
      <c r="W307" s="72">
        <f t="shared" si="128"/>
        <v>441619717.5625</v>
      </c>
      <c r="Y307" s="110">
        <f t="shared" si="129"/>
        <v>7.0060124194265434</v>
      </c>
      <c r="Z307" s="111">
        <f t="shared" si="130"/>
        <v>-27.509497931773097</v>
      </c>
      <c r="AA307" s="72">
        <f t="shared" si="131"/>
        <v>152.4905020682269</v>
      </c>
      <c r="AB307" s="110">
        <f t="shared" ca="1" si="132"/>
        <v>-11.445343434837135</v>
      </c>
      <c r="AC307" s="111">
        <f t="shared" ca="1" si="133"/>
        <v>-53.645605547863902</v>
      </c>
      <c r="AD307" s="72">
        <f t="shared" ca="1" si="134"/>
        <v>126.35439445213609</v>
      </c>
    </row>
    <row r="308" spans="1:30">
      <c r="A308" s="118">
        <v>21136.5</v>
      </c>
      <c r="B308" s="101">
        <f t="shared" ca="1" si="108"/>
        <v>1083.896169961185</v>
      </c>
      <c r="C308" s="102">
        <f t="shared" ca="1" si="109"/>
        <v>1.5698737290686768</v>
      </c>
      <c r="D308" s="102">
        <f t="shared" si="110"/>
        <v>28.105956955433602</v>
      </c>
      <c r="E308" s="103">
        <f t="shared" si="111"/>
        <v>1.5352091696997481</v>
      </c>
      <c r="F308" s="101">
        <f t="shared" si="112"/>
        <v>1593.6548668656492</v>
      </c>
      <c r="G308" s="104">
        <f t="shared" si="113"/>
        <v>1.5701688383176766</v>
      </c>
      <c r="H308" s="113">
        <f t="shared" si="114"/>
        <v>2.2289763747502214</v>
      </c>
      <c r="I308" s="114">
        <f t="shared" si="115"/>
        <v>1.1055573083114718</v>
      </c>
      <c r="J308" s="101">
        <f t="shared" si="116"/>
        <v>1.0000881813493403</v>
      </c>
      <c r="K308" s="104">
        <f t="shared" si="117"/>
        <v>1.3279673931928814E-2</v>
      </c>
      <c r="L308" s="102">
        <f t="shared" si="118"/>
        <v>1</v>
      </c>
      <c r="M308" s="103">
        <f t="shared" si="119"/>
        <v>6.9722386699061257E-10</v>
      </c>
      <c r="N308" s="101">
        <f t="shared" si="120"/>
        <v>1</v>
      </c>
      <c r="O308" s="104">
        <f t="shared" si="121"/>
        <v>1.11555818718498E-10</v>
      </c>
      <c r="P308" s="105">
        <f t="shared" ca="1" si="122"/>
        <v>1.5456308904426994</v>
      </c>
      <c r="Q308" s="106">
        <f t="shared" ca="1" si="123"/>
        <v>0.90449729910468546</v>
      </c>
      <c r="R308" s="107">
        <f t="shared" ca="1" si="124"/>
        <v>-20.396294307125061</v>
      </c>
      <c r="S308" s="108">
        <f t="shared" ca="1" si="125"/>
        <v>-81.191159881499658</v>
      </c>
      <c r="T308" s="116">
        <f t="shared" ca="1" si="126"/>
        <v>98.808840118500342</v>
      </c>
      <c r="V308" s="72">
        <f t="shared" ca="1" si="127"/>
        <v>21136.5</v>
      </c>
      <c r="W308" s="72">
        <f t="shared" si="128"/>
        <v>446751632.25</v>
      </c>
      <c r="Y308" s="110">
        <f t="shared" si="129"/>
        <v>6.9958575931235902</v>
      </c>
      <c r="Z308" s="111">
        <f t="shared" si="130"/>
        <v>-27.381149049811977</v>
      </c>
      <c r="AA308" s="72">
        <f t="shared" si="131"/>
        <v>152.61885095018803</v>
      </c>
      <c r="AB308" s="110">
        <f t="shared" ca="1" si="132"/>
        <v>-11.474551553367149</v>
      </c>
      <c r="AC308" s="111">
        <f t="shared" ca="1" si="133"/>
        <v>-53.810010831687727</v>
      </c>
      <c r="AD308" s="72">
        <f t="shared" ca="1" si="134"/>
        <v>126.18998916831228</v>
      </c>
    </row>
    <row r="309" spans="1:30">
      <c r="A309" s="118">
        <v>21258.25</v>
      </c>
      <c r="B309" s="101">
        <f t="shared" ca="1" si="108"/>
        <v>1090.1395994167797</v>
      </c>
      <c r="C309" s="102">
        <f t="shared" ca="1" si="109"/>
        <v>1.5698790129565781</v>
      </c>
      <c r="D309" s="102">
        <f t="shared" si="110"/>
        <v>28.267647908353215</v>
      </c>
      <c r="E309" s="103">
        <f t="shared" si="111"/>
        <v>1.5354128134856866</v>
      </c>
      <c r="F309" s="101">
        <f t="shared" si="112"/>
        <v>1602.8345987920773</v>
      </c>
      <c r="G309" s="104">
        <f t="shared" si="113"/>
        <v>1.5701724320613866</v>
      </c>
      <c r="H309" s="113">
        <f t="shared" si="114"/>
        <v>2.2392373670672452</v>
      </c>
      <c r="I309" s="114">
        <f t="shared" si="115"/>
        <v>1.1078562866604511</v>
      </c>
      <c r="J309" s="101">
        <f t="shared" si="116"/>
        <v>1.0000892001102495</v>
      </c>
      <c r="K309" s="104">
        <f t="shared" si="117"/>
        <v>1.3356158145547841E-2</v>
      </c>
      <c r="L309" s="102">
        <f t="shared" si="118"/>
        <v>1</v>
      </c>
      <c r="M309" s="103">
        <f t="shared" si="119"/>
        <v>7.0124000049455635E-10</v>
      </c>
      <c r="N309" s="101">
        <f t="shared" si="120"/>
        <v>1</v>
      </c>
      <c r="O309" s="104">
        <f t="shared" si="121"/>
        <v>1.1219840007912901E-10</v>
      </c>
      <c r="P309" s="105">
        <f t="shared" ca="1" si="122"/>
        <v>1.5508209907667314</v>
      </c>
      <c r="Q309" s="106">
        <f t="shared" ca="1" si="123"/>
        <v>0.90754834659572803</v>
      </c>
      <c r="R309" s="107">
        <f t="shared" ca="1" si="124"/>
        <v>-20.435478898924767</v>
      </c>
      <c r="S309" s="108">
        <f t="shared" ca="1" si="125"/>
        <v>-81.227473213094967</v>
      </c>
      <c r="T309" s="116">
        <f t="shared" ca="1" si="126"/>
        <v>98.772526786905033</v>
      </c>
      <c r="V309" s="72">
        <f t="shared" ca="1" si="127"/>
        <v>21258.25</v>
      </c>
      <c r="W309" s="72">
        <f t="shared" si="128"/>
        <v>451913193.0625</v>
      </c>
      <c r="Y309" s="110">
        <f t="shared" si="129"/>
        <v>6.9858533898383799</v>
      </c>
      <c r="Z309" s="111">
        <f t="shared" si="130"/>
        <v>-27.254015421871937</v>
      </c>
      <c r="AA309" s="72">
        <f t="shared" si="131"/>
        <v>152.74598457812806</v>
      </c>
      <c r="AB309" s="110">
        <f t="shared" ca="1" si="132"/>
        <v>-11.503731941881647</v>
      </c>
      <c r="AC309" s="111">
        <f t="shared" ca="1" si="133"/>
        <v>-53.973457791223034</v>
      </c>
      <c r="AD309" s="72">
        <f t="shared" ca="1" si="134"/>
        <v>126.02654220877696</v>
      </c>
    </row>
    <row r="310" spans="1:30">
      <c r="A310" s="118">
        <v>21380</v>
      </c>
      <c r="B310" s="101">
        <f t="shared" ca="1" si="108"/>
        <v>1096.3830289024638</v>
      </c>
      <c r="C310" s="102">
        <f t="shared" ca="1" si="109"/>
        <v>1.5698842366655443</v>
      </c>
      <c r="D310" s="102">
        <f t="shared" si="110"/>
        <v>28.429340020219911</v>
      </c>
      <c r="E310" s="103">
        <f t="shared" si="111"/>
        <v>1.535614140828385</v>
      </c>
      <c r="F310" s="101">
        <f t="shared" si="112"/>
        <v>1612.0143307389699</v>
      </c>
      <c r="G310" s="104">
        <f t="shared" si="113"/>
        <v>1.5701759848754306</v>
      </c>
      <c r="H310" s="113">
        <f t="shared" si="114"/>
        <v>2.2495100864229198</v>
      </c>
      <c r="I310" s="114">
        <f t="shared" si="115"/>
        <v>1.1101342797109528</v>
      </c>
      <c r="J310" s="101">
        <f t="shared" si="116"/>
        <v>1.0000902247215036</v>
      </c>
      <c r="K310" s="104">
        <f t="shared" si="117"/>
        <v>1.3432642202895256E-2</v>
      </c>
      <c r="L310" s="102">
        <f t="shared" si="118"/>
        <v>1</v>
      </c>
      <c r="M310" s="103">
        <f t="shared" si="119"/>
        <v>7.0525613399850012E-10</v>
      </c>
      <c r="N310" s="101">
        <f t="shared" si="120"/>
        <v>1</v>
      </c>
      <c r="O310" s="104">
        <f t="shared" si="121"/>
        <v>1.1284098143976001E-10</v>
      </c>
      <c r="P310" s="105">
        <f t="shared" ca="1" si="122"/>
        <v>1.5560236129699201</v>
      </c>
      <c r="Q310" s="106">
        <f t="shared" ca="1" si="123"/>
        <v>0.91058051733475776</v>
      </c>
      <c r="R310" s="107">
        <f t="shared" ca="1" si="124"/>
        <v>-20.474487287390637</v>
      </c>
      <c r="S310" s="108">
        <f t="shared" ca="1" si="125"/>
        <v>-81.264034275875161</v>
      </c>
      <c r="T310" s="116">
        <f t="shared" ca="1" si="126"/>
        <v>98.735965724124839</v>
      </c>
      <c r="V310" s="72">
        <f t="shared" ca="1" si="127"/>
        <v>21380</v>
      </c>
      <c r="W310" s="72">
        <f t="shared" si="128"/>
        <v>457104400</v>
      </c>
      <c r="Y310" s="110">
        <f t="shared" si="129"/>
        <v>6.9759969357613816</v>
      </c>
      <c r="Z310" s="111">
        <f t="shared" si="130"/>
        <v>-27.128081808917027</v>
      </c>
      <c r="AA310" s="72">
        <f t="shared" si="131"/>
        <v>152.87191819108298</v>
      </c>
      <c r="AB310" s="110">
        <f t="shared" ca="1" si="132"/>
        <v>-11.532883876270519</v>
      </c>
      <c r="AC310" s="111">
        <f t="shared" ca="1" si="133"/>
        <v>-54.135952466958145</v>
      </c>
      <c r="AD310" s="72">
        <f t="shared" ca="1" si="134"/>
        <v>125.86404753304186</v>
      </c>
    </row>
    <row r="311" spans="1:30">
      <c r="A311" s="118">
        <v>21504.5</v>
      </c>
      <c r="B311" s="101">
        <f t="shared" ca="1" si="108"/>
        <v>1102.7674804399689</v>
      </c>
      <c r="C311" s="102">
        <f t="shared" ca="1" si="109"/>
        <v>1.569889517195604</v>
      </c>
      <c r="D311" s="102">
        <f t="shared" si="110"/>
        <v>28.594685493335987</v>
      </c>
      <c r="E311" s="103">
        <f t="shared" si="111"/>
        <v>1.5358176610149255</v>
      </c>
      <c r="F311" s="101">
        <f t="shared" si="112"/>
        <v>1621.40140778144</v>
      </c>
      <c r="G311" s="104">
        <f t="shared" si="113"/>
        <v>1.5701795763353266</v>
      </c>
      <c r="H311" s="113">
        <f t="shared" si="114"/>
        <v>2.2600267991897085</v>
      </c>
      <c r="I311" s="114">
        <f t="shared" si="115"/>
        <v>1.1124422984475306</v>
      </c>
      <c r="J311" s="101">
        <f t="shared" si="116"/>
        <v>1.000091278525961</v>
      </c>
      <c r="K311" s="104">
        <f t="shared" si="117"/>
        <v>1.3510853663681767E-2</v>
      </c>
      <c r="L311" s="102">
        <f t="shared" si="118"/>
        <v>1</v>
      </c>
      <c r="M311" s="103">
        <f t="shared" si="119"/>
        <v>7.0936298099021259E-10</v>
      </c>
      <c r="N311" s="101">
        <f t="shared" si="120"/>
        <v>1</v>
      </c>
      <c r="O311" s="104">
        <f t="shared" si="121"/>
        <v>1.1349807695843401E-10</v>
      </c>
      <c r="P311" s="105">
        <f t="shared" ca="1" si="122"/>
        <v>1.5613565701849781</v>
      </c>
      <c r="Q311" s="106">
        <f t="shared" ca="1" si="123"/>
        <v>0.91366180527611807</v>
      </c>
      <c r="R311" s="107">
        <f t="shared" ca="1" si="124"/>
        <v>-20.5141967393945</v>
      </c>
      <c r="S311" s="108">
        <f t="shared" ca="1" si="125"/>
        <v>-81.301668004040437</v>
      </c>
      <c r="T311" s="116">
        <f t="shared" ca="1" si="126"/>
        <v>98.698331995959563</v>
      </c>
      <c r="V311" s="72">
        <f t="shared" ca="1" si="127"/>
        <v>21504.5</v>
      </c>
      <c r="W311" s="72">
        <f t="shared" si="128"/>
        <v>462443520.25</v>
      </c>
      <c r="Y311" s="110">
        <f t="shared" si="129"/>
        <v>6.9660677189858795</v>
      </c>
      <c r="Z311" s="111">
        <f t="shared" si="130"/>
        <v>-27.000529038037541</v>
      </c>
      <c r="AA311" s="72">
        <f t="shared" si="131"/>
        <v>152.99947096196246</v>
      </c>
      <c r="AB311" s="110">
        <f t="shared" ca="1" si="132"/>
        <v>-11.562664111498876</v>
      </c>
      <c r="AC311" s="111">
        <f t="shared" ca="1" si="133"/>
        <v>-54.301138966002917</v>
      </c>
      <c r="AD311" s="72">
        <f t="shared" ca="1" si="134"/>
        <v>125.69886103399708</v>
      </c>
    </row>
    <row r="312" spans="1:30">
      <c r="A312" s="118">
        <v>21629</v>
      </c>
      <c r="B312" s="101">
        <f t="shared" ca="1" si="108"/>
        <v>1109.1519320078698</v>
      </c>
      <c r="C312" s="102">
        <f t="shared" ca="1" si="109"/>
        <v>1.5698947369345544</v>
      </c>
      <c r="D312" s="102">
        <f t="shared" si="110"/>
        <v>28.760032137238621</v>
      </c>
      <c r="E312" s="103">
        <f t="shared" si="111"/>
        <v>1.536018841060748</v>
      </c>
      <c r="F312" s="101">
        <f t="shared" si="112"/>
        <v>1630.7884848445829</v>
      </c>
      <c r="G312" s="104">
        <f t="shared" si="113"/>
        <v>1.5701831264491974</v>
      </c>
      <c r="H312" s="113">
        <f t="shared" si="114"/>
        <v>2.2705554394456855</v>
      </c>
      <c r="I312" s="114">
        <f t="shared" si="115"/>
        <v>1.1147289245533434</v>
      </c>
      <c r="J312" s="101">
        <f t="shared" si="116"/>
        <v>1.0000923384479965</v>
      </c>
      <c r="K312" s="104">
        <f t="shared" si="117"/>
        <v>1.3589064959165908E-2</v>
      </c>
      <c r="L312" s="102">
        <f t="shared" si="118"/>
        <v>1</v>
      </c>
      <c r="M312" s="103">
        <f t="shared" si="119"/>
        <v>7.1346982798192507E-10</v>
      </c>
      <c r="N312" s="101">
        <f t="shared" si="120"/>
        <v>1</v>
      </c>
      <c r="O312" s="104">
        <f t="shared" si="121"/>
        <v>1.1415517247710801E-10</v>
      </c>
      <c r="P312" s="105">
        <f t="shared" ca="1" si="122"/>
        <v>1.5667023642956643</v>
      </c>
      <c r="Q312" s="106">
        <f t="shared" ca="1" si="123"/>
        <v>0.91672365752362461</v>
      </c>
      <c r="R312" s="107">
        <f t="shared" ca="1" si="124"/>
        <v>-20.553726330568637</v>
      </c>
      <c r="S312" s="108">
        <f t="shared" ca="1" si="125"/>
        <v>-81.339542075120519</v>
      </c>
      <c r="T312" s="116">
        <f t="shared" ca="1" si="126"/>
        <v>98.660457924879481</v>
      </c>
      <c r="V312" s="72">
        <f t="shared" ca="1" si="127"/>
        <v>21629</v>
      </c>
      <c r="W312" s="72">
        <f t="shared" si="128"/>
        <v>467813641</v>
      </c>
      <c r="Y312" s="110">
        <f t="shared" si="129"/>
        <v>6.9562871326597628</v>
      </c>
      <c r="Z312" s="111">
        <f t="shared" si="130"/>
        <v>-26.874199596191108</v>
      </c>
      <c r="AA312" s="72">
        <f t="shared" si="131"/>
        <v>153.12580040380888</v>
      </c>
      <c r="AB312" s="110">
        <f t="shared" ca="1" si="132"/>
        <v>-11.592413116346895</v>
      </c>
      <c r="AC312" s="111">
        <f t="shared" ca="1" si="133"/>
        <v>-54.46534247892945</v>
      </c>
      <c r="AD312" s="72">
        <f t="shared" ca="1" si="134"/>
        <v>125.53465752107056</v>
      </c>
    </row>
    <row r="313" spans="1:30">
      <c r="A313" s="118">
        <v>21753.5</v>
      </c>
      <c r="B313" s="101">
        <f t="shared" ca="1" si="108"/>
        <v>1115.5363836056445</v>
      </c>
      <c r="C313" s="102">
        <f t="shared" ca="1" si="109"/>
        <v>1.5698998969261559</v>
      </c>
      <c r="D313" s="102">
        <f t="shared" si="110"/>
        <v>28.925379931850049</v>
      </c>
      <c r="E313" s="103">
        <f t="shared" si="111"/>
        <v>1.5362177210806651</v>
      </c>
      <c r="F313" s="101">
        <f t="shared" si="112"/>
        <v>1640.1755619280436</v>
      </c>
      <c r="G313" s="104">
        <f t="shared" si="113"/>
        <v>1.5701866359269396</v>
      </c>
      <c r="H313" s="113">
        <f t="shared" si="114"/>
        <v>2.2810958420330749</v>
      </c>
      <c r="I313" s="114">
        <f t="shared" si="115"/>
        <v>1.1169944305004542</v>
      </c>
      <c r="J313" s="101">
        <f t="shared" si="116"/>
        <v>1.0000934044875907</v>
      </c>
      <c r="K313" s="104">
        <f t="shared" si="117"/>
        <v>1.3667276088391364E-2</v>
      </c>
      <c r="L313" s="102">
        <f t="shared" si="118"/>
        <v>1</v>
      </c>
      <c r="M313" s="103">
        <f t="shared" si="119"/>
        <v>7.1757667497363754E-10</v>
      </c>
      <c r="N313" s="101">
        <f t="shared" si="120"/>
        <v>1</v>
      </c>
      <c r="O313" s="104">
        <f t="shared" si="121"/>
        <v>1.1481226799578201E-10</v>
      </c>
      <c r="P313" s="105">
        <f t="shared" ca="1" si="122"/>
        <v>1.5720608675232735</v>
      </c>
      <c r="Q313" s="106">
        <f t="shared" ca="1" si="123"/>
        <v>0.91976622627574012</v>
      </c>
      <c r="R313" s="107">
        <f t="shared" ca="1" si="124"/>
        <v>-20.593078206364478</v>
      </c>
      <c r="S313" s="108">
        <f t="shared" ca="1" si="125"/>
        <v>-81.377647399958661</v>
      </c>
      <c r="T313" s="116">
        <f t="shared" ca="1" si="126"/>
        <v>98.622352600041339</v>
      </c>
      <c r="V313" s="72">
        <f t="shared" ca="1" si="127"/>
        <v>21753.5</v>
      </c>
      <c r="W313" s="72">
        <f t="shared" si="128"/>
        <v>473214762.25</v>
      </c>
      <c r="Y313" s="110">
        <f t="shared" si="129"/>
        <v>6.9466523123152513</v>
      </c>
      <c r="Z313" s="111">
        <f t="shared" si="130"/>
        <v>-26.749077912497725</v>
      </c>
      <c r="AA313" s="72">
        <f t="shared" si="131"/>
        <v>153.25092208750226</v>
      </c>
      <c r="AB313" s="110">
        <f t="shared" ca="1" si="132"/>
        <v>-11.622130171798224</v>
      </c>
      <c r="AC313" s="111">
        <f t="shared" ca="1" si="133"/>
        <v>-54.628569487460929</v>
      </c>
      <c r="AD313" s="72">
        <f t="shared" ca="1" si="134"/>
        <v>125.37143051253906</v>
      </c>
    </row>
    <row r="314" spans="1:30">
      <c r="A314" s="118">
        <v>21878</v>
      </c>
      <c r="B314" s="101">
        <f t="shared" ca="1" si="108"/>
        <v>1121.9208352327828</v>
      </c>
      <c r="C314" s="102">
        <f t="shared" ca="1" si="109"/>
        <v>1.5699049981904112</v>
      </c>
      <c r="D314" s="102">
        <f t="shared" si="110"/>
        <v>29.090728857548847</v>
      </c>
      <c r="E314" s="103">
        <f t="shared" si="111"/>
        <v>1.5364143402781909</v>
      </c>
      <c r="F314" s="101">
        <f t="shared" si="112"/>
        <v>1649.5626390314758</v>
      </c>
      <c r="G314" s="104">
        <f t="shared" si="113"/>
        <v>1.5701901054622907</v>
      </c>
      <c r="H314" s="113">
        <f t="shared" si="114"/>
        <v>2.2916478446498405</v>
      </c>
      <c r="I314" s="114">
        <f t="shared" si="115"/>
        <v>1.1192390846180977</v>
      </c>
      <c r="J314" s="101">
        <f t="shared" si="116"/>
        <v>1.0000944766447237</v>
      </c>
      <c r="K314" s="104">
        <f t="shared" si="117"/>
        <v>1.3745487050401836E-2</v>
      </c>
      <c r="L314" s="102">
        <f t="shared" si="118"/>
        <v>1</v>
      </c>
      <c r="M314" s="103">
        <f t="shared" si="119"/>
        <v>7.2168352196535012E-10</v>
      </c>
      <c r="N314" s="101">
        <f t="shared" si="120"/>
        <v>1</v>
      </c>
      <c r="O314" s="104">
        <f t="shared" si="121"/>
        <v>1.15469363514456E-10</v>
      </c>
      <c r="P314" s="105">
        <f t="shared" ca="1" si="122"/>
        <v>1.5774319535343684</v>
      </c>
      <c r="Q314" s="106">
        <f t="shared" ca="1" si="123"/>
        <v>0.9227896628962744</v>
      </c>
      <c r="R314" s="107">
        <f t="shared" ca="1" si="124"/>
        <v>-20.632254463693876</v>
      </c>
      <c r="S314" s="108">
        <f t="shared" ca="1" si="125"/>
        <v>-81.415975128868965</v>
      </c>
      <c r="T314" s="116">
        <f t="shared" ca="1" si="126"/>
        <v>98.584024871131035</v>
      </c>
      <c r="V314" s="72">
        <f t="shared" ca="1" si="127"/>
        <v>21878</v>
      </c>
      <c r="W314" s="72">
        <f t="shared" si="128"/>
        <v>478646884</v>
      </c>
      <c r="Y314" s="110">
        <f t="shared" si="129"/>
        <v>6.9371604600282213</v>
      </c>
      <c r="Z314" s="111">
        <f t="shared" si="130"/>
        <v>-26.625148652518174</v>
      </c>
      <c r="AA314" s="72">
        <f t="shared" si="131"/>
        <v>153.37485134748184</v>
      </c>
      <c r="AB314" s="110">
        <f t="shared" ca="1" si="132"/>
        <v>-11.651814576840598</v>
      </c>
      <c r="AC314" s="111">
        <f t="shared" ca="1" si="133"/>
        <v>-54.79082647635078</v>
      </c>
      <c r="AD314" s="72">
        <f t="shared" ca="1" si="134"/>
        <v>125.20917352364921</v>
      </c>
    </row>
    <row r="315" spans="1:30">
      <c r="A315" s="118">
        <v>22005.25</v>
      </c>
      <c r="B315" s="101">
        <f t="shared" ca="1" si="108"/>
        <v>1128.4463089136386</v>
      </c>
      <c r="C315" s="102">
        <f t="shared" ca="1" si="109"/>
        <v>1.5699101524833807</v>
      </c>
      <c r="D315" s="102">
        <f t="shared" si="110"/>
        <v>29.259731217632638</v>
      </c>
      <c r="E315" s="103">
        <f t="shared" si="111"/>
        <v>1.5366130060727843</v>
      </c>
      <c r="F315" s="101">
        <f t="shared" si="112"/>
        <v>1659.1570612317746</v>
      </c>
      <c r="G315" s="104">
        <f t="shared" si="113"/>
        <v>1.5701936110641737</v>
      </c>
      <c r="H315" s="113">
        <f t="shared" si="114"/>
        <v>2.3024447448022705</v>
      </c>
      <c r="I315" s="114">
        <f t="shared" si="115"/>
        <v>1.1215120467194446</v>
      </c>
      <c r="J315" s="101">
        <f t="shared" si="116"/>
        <v>1.0000955788057431</v>
      </c>
      <c r="K315" s="104">
        <f t="shared" si="117"/>
        <v>1.3825425389990507E-2</v>
      </c>
      <c r="L315" s="102">
        <f t="shared" si="118"/>
        <v>1</v>
      </c>
      <c r="M315" s="103">
        <f t="shared" si="119"/>
        <v>7.2588108244483129E-10</v>
      </c>
      <c r="N315" s="101">
        <f t="shared" si="120"/>
        <v>1</v>
      </c>
      <c r="O315" s="104">
        <f t="shared" si="121"/>
        <v>1.1614097319117301E-10</v>
      </c>
      <c r="P315" s="105">
        <f t="shared" ca="1" si="122"/>
        <v>1.5829345507304595</v>
      </c>
      <c r="Q315" s="106">
        <f t="shared" ca="1" si="123"/>
        <v>0.92586026823921674</v>
      </c>
      <c r="R315" s="107">
        <f t="shared" ca="1" si="124"/>
        <v>-20.672116713648883</v>
      </c>
      <c r="S315" s="108">
        <f t="shared" ca="1" si="125"/>
        <v>-81.455370313354507</v>
      </c>
      <c r="T315" s="116">
        <f t="shared" ca="1" si="126"/>
        <v>98.544629686645493</v>
      </c>
      <c r="V315" s="72">
        <f t="shared" ca="1" si="127"/>
        <v>22005.25</v>
      </c>
      <c r="W315" s="72">
        <f t="shared" si="128"/>
        <v>484231027.5625</v>
      </c>
      <c r="Y315" s="110">
        <f t="shared" si="129"/>
        <v>6.9276038433552154</v>
      </c>
      <c r="Z315" s="111">
        <f t="shared" si="130"/>
        <v>-26.499698502444698</v>
      </c>
      <c r="AA315" s="72">
        <f t="shared" si="131"/>
        <v>153.50030149755531</v>
      </c>
      <c r="AB315" s="110">
        <f t="shared" ca="1" si="132"/>
        <v>-11.6821202101226</v>
      </c>
      <c r="AC315" s="111">
        <f t="shared" ca="1" si="133"/>
        <v>-54.955671810909777</v>
      </c>
      <c r="AD315" s="72">
        <f t="shared" ca="1" si="134"/>
        <v>125.04432818909022</v>
      </c>
    </row>
    <row r="316" spans="1:30">
      <c r="A316" s="118">
        <v>22132.5</v>
      </c>
      <c r="B316" s="101">
        <f t="shared" ca="1" si="108"/>
        <v>1134.9717826241288</v>
      </c>
      <c r="C316" s="102">
        <f t="shared" ca="1" si="109"/>
        <v>1.5699152475075584</v>
      </c>
      <c r="D316" s="102">
        <f t="shared" si="110"/>
        <v>29.428734719278552</v>
      </c>
      <c r="E316" s="103">
        <f t="shared" si="111"/>
        <v>1.5368093900769915</v>
      </c>
      <c r="F316" s="101">
        <f t="shared" si="112"/>
        <v>1668.751483452229</v>
      </c>
      <c r="G316" s="104">
        <f t="shared" si="113"/>
        <v>1.5701970763554116</v>
      </c>
      <c r="H316" s="113">
        <f t="shared" si="114"/>
        <v>2.3132534291299067</v>
      </c>
      <c r="I316" s="114">
        <f t="shared" si="115"/>
        <v>1.1237637795177362</v>
      </c>
      <c r="J316" s="101">
        <f t="shared" si="116"/>
        <v>1.000096687357497</v>
      </c>
      <c r="K316" s="104">
        <f t="shared" si="117"/>
        <v>1.3905363552875555E-2</v>
      </c>
      <c r="L316" s="102">
        <f t="shared" si="118"/>
        <v>1</v>
      </c>
      <c r="M316" s="103">
        <f t="shared" si="119"/>
        <v>7.3007864292431256E-10</v>
      </c>
      <c r="N316" s="101">
        <f t="shared" si="120"/>
        <v>1</v>
      </c>
      <c r="O316" s="104">
        <f t="shared" si="121"/>
        <v>1.1681258286789001E-10</v>
      </c>
      <c r="P316" s="105">
        <f t="shared" ca="1" si="122"/>
        <v>1.5884500304049638</v>
      </c>
      <c r="Q316" s="106">
        <f t="shared" ca="1" si="123"/>
        <v>0.92891120394243099</v>
      </c>
      <c r="R316" s="107">
        <f t="shared" ca="1" si="124"/>
        <v>-20.711799781900062</v>
      </c>
      <c r="S316" s="108">
        <f t="shared" ca="1" si="125"/>
        <v>-81.494979881319338</v>
      </c>
      <c r="T316" s="116">
        <f t="shared" ca="1" si="126"/>
        <v>98.505020118680662</v>
      </c>
      <c r="V316" s="72">
        <f t="shared" ca="1" si="127"/>
        <v>22132.5</v>
      </c>
      <c r="W316" s="72">
        <f t="shared" si="128"/>
        <v>489847556.25</v>
      </c>
      <c r="Y316" s="110">
        <f t="shared" si="129"/>
        <v>6.9181908750433436</v>
      </c>
      <c r="Z316" s="111">
        <f t="shared" si="130"/>
        <v>-26.375462382085495</v>
      </c>
      <c r="AA316" s="72">
        <f t="shared" si="131"/>
        <v>153.62453761791451</v>
      </c>
      <c r="AB316" s="110">
        <f t="shared" ca="1" si="132"/>
        <v>-11.712390310061904</v>
      </c>
      <c r="AC316" s="111">
        <f t="shared" ca="1" si="133"/>
        <v>-55.119517499233915</v>
      </c>
      <c r="AD316" s="72">
        <f t="shared" ca="1" si="134"/>
        <v>124.88048250076608</v>
      </c>
    </row>
    <row r="317" spans="1:30">
      <c r="A317" s="118">
        <v>22259.75</v>
      </c>
      <c r="B317" s="101">
        <f t="shared" ca="1" si="108"/>
        <v>1141.4972563637452</v>
      </c>
      <c r="C317" s="102">
        <f t="shared" ca="1" si="109"/>
        <v>1.5699202842793902</v>
      </c>
      <c r="D317" s="102">
        <f t="shared" si="110"/>
        <v>29.597739342931575</v>
      </c>
      <c r="E317" s="103">
        <f t="shared" si="111"/>
        <v>1.5370035313629569</v>
      </c>
      <c r="F317" s="101">
        <f t="shared" si="112"/>
        <v>1678.3459056924928</v>
      </c>
      <c r="G317" s="104">
        <f t="shared" si="113"/>
        <v>1.5702005020273226</v>
      </c>
      <c r="H317" s="113">
        <f t="shared" si="114"/>
        <v>2.3240737332170216</v>
      </c>
      <c r="I317" s="114">
        <f t="shared" si="115"/>
        <v>1.1259945565334817</v>
      </c>
      <c r="J317" s="101">
        <f t="shared" si="116"/>
        <v>1.0000978022999647</v>
      </c>
      <c r="K317" s="104">
        <f t="shared" si="117"/>
        <v>1.3985301538035943E-2</v>
      </c>
      <c r="L317" s="102">
        <f t="shared" si="118"/>
        <v>1</v>
      </c>
      <c r="M317" s="103">
        <f t="shared" si="119"/>
        <v>7.3427620340379383E-10</v>
      </c>
      <c r="N317" s="101">
        <f t="shared" si="120"/>
        <v>1</v>
      </c>
      <c r="O317" s="104">
        <f t="shared" si="121"/>
        <v>1.1748419254460701E-10</v>
      </c>
      <c r="P317" s="105">
        <f t="shared" ca="1" si="122"/>
        <v>1.5939782622534846</v>
      </c>
      <c r="Q317" s="106">
        <f t="shared" ca="1" si="123"/>
        <v>0.93194262884087786</v>
      </c>
      <c r="R317" s="107">
        <f t="shared" ca="1" si="124"/>
        <v>-20.751305759646321</v>
      </c>
      <c r="S317" s="108">
        <f t="shared" ca="1" si="125"/>
        <v>-81.534795120885988</v>
      </c>
      <c r="T317" s="116">
        <f t="shared" ca="1" si="126"/>
        <v>98.465204879114012</v>
      </c>
      <c r="V317" s="72">
        <f t="shared" ca="1" si="127"/>
        <v>22259.75</v>
      </c>
      <c r="W317" s="72">
        <f t="shared" si="128"/>
        <v>495496470.0625</v>
      </c>
      <c r="Y317" s="110">
        <f t="shared" si="129"/>
        <v>6.9089187716817912</v>
      </c>
      <c r="Z317" s="111">
        <f t="shared" si="130"/>
        <v>-26.25242465942085</v>
      </c>
      <c r="AA317" s="72">
        <f t="shared" si="131"/>
        <v>153.74757534057915</v>
      </c>
      <c r="AB317" s="110">
        <f t="shared" ca="1" si="132"/>
        <v>-11.74262418444661</v>
      </c>
      <c r="AC317" s="111">
        <f t="shared" ca="1" si="133"/>
        <v>-55.282370461465156</v>
      </c>
      <c r="AD317" s="72">
        <f t="shared" ca="1" si="134"/>
        <v>124.71762953853485</v>
      </c>
    </row>
    <row r="318" spans="1:30">
      <c r="A318" s="118">
        <v>22387</v>
      </c>
      <c r="B318" s="101">
        <f t="shared" ca="1" si="108"/>
        <v>1148.0227301319912</v>
      </c>
      <c r="C318" s="102">
        <f t="shared" ca="1" si="109"/>
        <v>1.5699252637922125</v>
      </c>
      <c r="D318" s="102">
        <f t="shared" si="110"/>
        <v>29.766745069480685</v>
      </c>
      <c r="E318" s="103">
        <f t="shared" si="111"/>
        <v>1.5371954681161553</v>
      </c>
      <c r="F318" s="101">
        <f t="shared" si="112"/>
        <v>1687.9403279522287</v>
      </c>
      <c r="G318" s="104">
        <f t="shared" si="113"/>
        <v>1.5702038887555079</v>
      </c>
      <c r="H318" s="113">
        <f t="shared" si="114"/>
        <v>2.3349054955204682</v>
      </c>
      <c r="I318" s="114">
        <f t="shared" si="115"/>
        <v>1.128204647054142</v>
      </c>
      <c r="J318" s="101">
        <f t="shared" si="116"/>
        <v>1.0000989236331244</v>
      </c>
      <c r="K318" s="104">
        <f t="shared" si="117"/>
        <v>1.4065239344450644E-2</v>
      </c>
      <c r="L318" s="102">
        <f t="shared" si="118"/>
        <v>1</v>
      </c>
      <c r="M318" s="103">
        <f t="shared" si="119"/>
        <v>7.3847376388327511E-10</v>
      </c>
      <c r="N318" s="101">
        <f t="shared" si="120"/>
        <v>1</v>
      </c>
      <c r="O318" s="104">
        <f t="shared" si="121"/>
        <v>1.1815580222132401E-10</v>
      </c>
      <c r="P318" s="105">
        <f t="shared" ca="1" si="122"/>
        <v>1.5995191174856316</v>
      </c>
      <c r="Q318" s="106">
        <f t="shared" ca="1" si="123"/>
        <v>0.93495470080795484</v>
      </c>
      <c r="R318" s="107">
        <f t="shared" ca="1" si="124"/>
        <v>-20.790636691307029</v>
      </c>
      <c r="S318" s="108">
        <f t="shared" ca="1" si="125"/>
        <v>-81.574807556196674</v>
      </c>
      <c r="T318" s="116">
        <f t="shared" ca="1" si="126"/>
        <v>98.425192443803326</v>
      </c>
      <c r="V318" s="72">
        <f t="shared" ca="1" si="127"/>
        <v>22387</v>
      </c>
      <c r="W318" s="72">
        <f t="shared" si="128"/>
        <v>501177769</v>
      </c>
      <c r="Y318" s="110">
        <f t="shared" si="129"/>
        <v>6.8997848149351606</v>
      </c>
      <c r="Z318" s="111">
        <f t="shared" si="130"/>
        <v>-26.130569944066341</v>
      </c>
      <c r="AA318" s="72">
        <f t="shared" si="131"/>
        <v>153.86943005593366</v>
      </c>
      <c r="AB318" s="110">
        <f t="shared" ca="1" si="132"/>
        <v>-11.772821159360685</v>
      </c>
      <c r="AC318" s="111">
        <f t="shared" ca="1" si="133"/>
        <v>-55.44423761213033</v>
      </c>
      <c r="AD318" s="72">
        <f t="shared" ca="1" si="134"/>
        <v>124.55576238786966</v>
      </c>
    </row>
    <row r="319" spans="1:30">
      <c r="A319" s="118">
        <v>22517.5</v>
      </c>
      <c r="B319" s="101">
        <f t="shared" ca="1" si="108"/>
        <v>1154.7148663243313</v>
      </c>
      <c r="C319" s="102">
        <f t="shared" ca="1" si="109"/>
        <v>1.5699303120286885</v>
      </c>
      <c r="D319" s="102">
        <f t="shared" si="110"/>
        <v>29.940068374715285</v>
      </c>
      <c r="E319" s="103">
        <f t="shared" si="111"/>
        <v>1.5373900563687486</v>
      </c>
      <c r="F319" s="101">
        <f t="shared" si="112"/>
        <v>1697.7797944152937</v>
      </c>
      <c r="G319" s="104">
        <f t="shared" si="113"/>
        <v>1.5702073222248631</v>
      </c>
      <c r="H319" s="113">
        <f t="shared" si="114"/>
        <v>2.3460256386882383</v>
      </c>
      <c r="I319" s="114">
        <f t="shared" si="115"/>
        <v>1.1304499758294151</v>
      </c>
      <c r="J319" s="101">
        <f t="shared" si="116"/>
        <v>1.0001000802430255</v>
      </c>
      <c r="K319" s="104">
        <f t="shared" si="117"/>
        <v>1.4147218597706705E-2</v>
      </c>
      <c r="L319" s="102">
        <f t="shared" si="118"/>
        <v>1</v>
      </c>
      <c r="M319" s="103">
        <f t="shared" si="119"/>
        <v>7.4277853121193753E-10</v>
      </c>
      <c r="N319" s="101">
        <f t="shared" si="120"/>
        <v>1</v>
      </c>
      <c r="O319" s="104">
        <f t="shared" si="121"/>
        <v>1.1884456499391E-10</v>
      </c>
      <c r="P319" s="105">
        <f t="shared" ca="1" si="122"/>
        <v>1.6052144654661862</v>
      </c>
      <c r="Q319" s="106">
        <f t="shared" ca="1" si="123"/>
        <v>0.93802376560330125</v>
      </c>
      <c r="R319" s="107">
        <f t="shared" ca="1" si="124"/>
        <v>-20.830792430204554</v>
      </c>
      <c r="S319" s="108">
        <f t="shared" ca="1" si="125"/>
        <v>-81.616038098969668</v>
      </c>
      <c r="T319" s="116">
        <f t="shared" ca="1" si="126"/>
        <v>98.383961901030332</v>
      </c>
      <c r="V319" s="72">
        <f t="shared" ca="1" si="127"/>
        <v>22517.5</v>
      </c>
      <c r="W319" s="72">
        <f t="shared" si="128"/>
        <v>507037806.25</v>
      </c>
      <c r="Y319" s="110">
        <f t="shared" si="129"/>
        <v>6.8905582778792853</v>
      </c>
      <c r="Z319" s="111">
        <f t="shared" si="130"/>
        <v>-26.006815869797673</v>
      </c>
      <c r="AA319" s="72">
        <f t="shared" si="131"/>
        <v>153.99318413020234</v>
      </c>
      <c r="AB319" s="110">
        <f t="shared" ca="1" si="132"/>
        <v>-11.803750361202335</v>
      </c>
      <c r="AC319" s="111">
        <f t="shared" ca="1" si="133"/>
        <v>-55.609222229171991</v>
      </c>
      <c r="AD319" s="72">
        <f t="shared" ca="1" si="134"/>
        <v>124.39077777082801</v>
      </c>
    </row>
    <row r="320" spans="1:30">
      <c r="A320" s="118">
        <v>22648</v>
      </c>
      <c r="B320" s="101">
        <f t="shared" ca="1" si="108"/>
        <v>1161.4070025457595</v>
      </c>
      <c r="C320" s="102">
        <f t="shared" ca="1" si="109"/>
        <v>1.5699353020883393</v>
      </c>
      <c r="D320" s="102">
        <f t="shared" si="110"/>
        <v>30.113392800568128</v>
      </c>
      <c r="E320" s="103">
        <f t="shared" si="111"/>
        <v>1.5375824046353816</v>
      </c>
      <c r="F320" s="101">
        <f t="shared" si="112"/>
        <v>1707.619260898143</v>
      </c>
      <c r="G320" s="104">
        <f t="shared" si="113"/>
        <v>1.5702107161262568</v>
      </c>
      <c r="H320" s="113">
        <f t="shared" si="114"/>
        <v>2.3571574977178287</v>
      </c>
      <c r="I320" s="114">
        <f t="shared" si="115"/>
        <v>1.1326741082511702</v>
      </c>
      <c r="J320" s="101">
        <f t="shared" si="116"/>
        <v>1.0001012435741814</v>
      </c>
      <c r="K320" s="104">
        <f t="shared" si="117"/>
        <v>1.4229197660794984E-2</v>
      </c>
      <c r="L320" s="102">
        <f t="shared" si="118"/>
        <v>1</v>
      </c>
      <c r="M320" s="103">
        <f t="shared" si="119"/>
        <v>7.4708329854060006E-10</v>
      </c>
      <c r="N320" s="101">
        <f t="shared" si="120"/>
        <v>1</v>
      </c>
      <c r="O320" s="104">
        <f t="shared" si="121"/>
        <v>1.1953332776649599E-10</v>
      </c>
      <c r="P320" s="105">
        <f t="shared" ca="1" si="122"/>
        <v>1.6109228203255326</v>
      </c>
      <c r="Q320" s="106">
        <f t="shared" ca="1" si="123"/>
        <v>0.94107280945752458</v>
      </c>
      <c r="R320" s="107">
        <f t="shared" ca="1" si="124"/>
        <v>-20.870768277850857</v>
      </c>
      <c r="S320" s="108">
        <f t="shared" ca="1" si="125"/>
        <v>-81.657458718394466</v>
      </c>
      <c r="T320" s="116">
        <f t="shared" ca="1" si="126"/>
        <v>98.342541281605534</v>
      </c>
      <c r="V320" s="72">
        <f t="shared" ca="1" si="127"/>
        <v>22648</v>
      </c>
      <c r="W320" s="72">
        <f t="shared" si="128"/>
        <v>512931904</v>
      </c>
      <c r="Y320" s="110">
        <f t="shared" si="129"/>
        <v>6.8814714456353876</v>
      </c>
      <c r="Z320" s="111">
        <f t="shared" si="130"/>
        <v>-25.884273979155019</v>
      </c>
      <c r="AA320" s="72">
        <f t="shared" si="131"/>
        <v>154.11572602084499</v>
      </c>
      <c r="AB320" s="110">
        <f t="shared" ca="1" si="132"/>
        <v>-11.834639376604738</v>
      </c>
      <c r="AC320" s="111">
        <f t="shared" ca="1" si="133"/>
        <v>-55.773184739239447</v>
      </c>
      <c r="AD320" s="72">
        <f t="shared" ca="1" si="134"/>
        <v>124.22681526076056</v>
      </c>
    </row>
    <row r="321" spans="1:30">
      <c r="A321" s="118">
        <v>22778.5</v>
      </c>
      <c r="B321" s="101">
        <f t="shared" ca="1" si="108"/>
        <v>1168.0991387957763</v>
      </c>
      <c r="C321" s="102">
        <f t="shared" ca="1" si="109"/>
        <v>1.5699402349710641</v>
      </c>
      <c r="D321" s="102">
        <f t="shared" si="110"/>
        <v>30.286718327800045</v>
      </c>
      <c r="E321" s="103">
        <f t="shared" si="111"/>
        <v>1.5377725513588267</v>
      </c>
      <c r="F321" s="101">
        <f t="shared" si="112"/>
        <v>1717.4587274004359</v>
      </c>
      <c r="G321" s="104">
        <f t="shared" si="113"/>
        <v>1.5702140711397536</v>
      </c>
      <c r="H321" s="113">
        <f t="shared" si="114"/>
        <v>2.368300907403055</v>
      </c>
      <c r="I321" s="114">
        <f t="shared" si="115"/>
        <v>1.1348773213599523</v>
      </c>
      <c r="J321" s="101">
        <f t="shared" si="116"/>
        <v>1.0001024136265693</v>
      </c>
      <c r="K321" s="104">
        <f t="shared" si="117"/>
        <v>1.4311176532614255E-2</v>
      </c>
      <c r="L321" s="102">
        <f t="shared" si="118"/>
        <v>1</v>
      </c>
      <c r="M321" s="103">
        <f t="shared" si="119"/>
        <v>7.5138806586926259E-10</v>
      </c>
      <c r="N321" s="101">
        <f t="shared" si="120"/>
        <v>1</v>
      </c>
      <c r="O321" s="104">
        <f t="shared" si="121"/>
        <v>1.2022209053908201E-10</v>
      </c>
      <c r="P321" s="105">
        <f t="shared" ca="1" si="122"/>
        <v>1.6166440480075974</v>
      </c>
      <c r="Q321" s="106">
        <f t="shared" ca="1" si="123"/>
        <v>0.94410199943242445</v>
      </c>
      <c r="R321" s="107">
        <f t="shared" ca="1" si="124"/>
        <v>-20.910566295302971</v>
      </c>
      <c r="S321" s="108">
        <f t="shared" ca="1" si="125"/>
        <v>-81.699061006736201</v>
      </c>
      <c r="T321" s="116">
        <f t="shared" ca="1" si="126"/>
        <v>98.300938993263799</v>
      </c>
      <c r="V321" s="72">
        <f t="shared" ca="1" si="127"/>
        <v>22778.5</v>
      </c>
      <c r="W321" s="72">
        <f t="shared" si="128"/>
        <v>518860062.25</v>
      </c>
      <c r="Y321" s="110">
        <f t="shared" si="129"/>
        <v>6.8725215880389037</v>
      </c>
      <c r="Z321" s="111">
        <f t="shared" si="130"/>
        <v>-25.762928437786137</v>
      </c>
      <c r="AA321" s="72">
        <f t="shared" si="131"/>
        <v>154.23707156221386</v>
      </c>
      <c r="AB321" s="110">
        <f t="shared" ca="1" si="132"/>
        <v>-11.865487536460371</v>
      </c>
      <c r="AC321" s="111">
        <f t="shared" ca="1" si="133"/>
        <v>-55.93613256895005</v>
      </c>
      <c r="AD321" s="72">
        <f t="shared" ca="1" si="134"/>
        <v>124.06386743104994</v>
      </c>
    </row>
    <row r="322" spans="1:30">
      <c r="A322" s="118">
        <v>22909</v>
      </c>
      <c r="B322" s="101">
        <f t="shared" ca="1" si="108"/>
        <v>1174.7912750738931</v>
      </c>
      <c r="C322" s="102">
        <f t="shared" ca="1" si="109"/>
        <v>1.5699451116539787</v>
      </c>
      <c r="D322" s="102">
        <f t="shared" si="110"/>
        <v>30.460044937609641</v>
      </c>
      <c r="E322" s="103">
        <f t="shared" si="111"/>
        <v>1.5379605341074996</v>
      </c>
      <c r="F322" s="101">
        <f t="shared" si="112"/>
        <v>1727.2981939218407</v>
      </c>
      <c r="G322" s="104">
        <f t="shared" si="113"/>
        <v>1.5702173879299222</v>
      </c>
      <c r="H322" s="113">
        <f t="shared" si="114"/>
        <v>2.3794557054626657</v>
      </c>
      <c r="I322" s="114">
        <f t="shared" si="115"/>
        <v>1.1370598878217428</v>
      </c>
      <c r="J322" s="101">
        <f t="shared" si="116"/>
        <v>1.0001035904001647</v>
      </c>
      <c r="K322" s="104">
        <f t="shared" si="117"/>
        <v>1.4393155212063307E-2</v>
      </c>
      <c r="L322" s="102">
        <f t="shared" si="118"/>
        <v>1</v>
      </c>
      <c r="M322" s="103">
        <f t="shared" si="119"/>
        <v>7.5569283319792512E-10</v>
      </c>
      <c r="N322" s="101">
        <f t="shared" si="120"/>
        <v>1</v>
      </c>
      <c r="O322" s="104">
        <f t="shared" si="121"/>
        <v>1.20910853311668E-10</v>
      </c>
      <c r="P322" s="105">
        <f t="shared" ca="1" si="122"/>
        <v>1.6223780160601675</v>
      </c>
      <c r="Q322" s="106">
        <f t="shared" ca="1" si="123"/>
        <v>0.94711150148262557</v>
      </c>
      <c r="R322" s="107">
        <f t="shared" ca="1" si="124"/>
        <v>-20.950188497954766</v>
      </c>
      <c r="S322" s="108">
        <f t="shared" ca="1" si="125"/>
        <v>-81.740836791371351</v>
      </c>
      <c r="T322" s="116">
        <f t="shared" ca="1" si="126"/>
        <v>98.259163208628649</v>
      </c>
      <c r="V322" s="72">
        <f t="shared" ca="1" si="127"/>
        <v>22909</v>
      </c>
      <c r="W322" s="72">
        <f t="shared" si="128"/>
        <v>524822281</v>
      </c>
      <c r="Y322" s="110">
        <f t="shared" si="129"/>
        <v>6.8637060393646907</v>
      </c>
      <c r="Z322" s="111">
        <f t="shared" si="130"/>
        <v>-25.642763661094925</v>
      </c>
      <c r="AA322" s="72">
        <f t="shared" si="131"/>
        <v>154.35723633890507</v>
      </c>
      <c r="AB322" s="110">
        <f t="shared" ca="1" si="132"/>
        <v>-11.896294190437951</v>
      </c>
      <c r="AC322" s="111">
        <f t="shared" ca="1" si="133"/>
        <v>-56.098073130276404</v>
      </c>
      <c r="AD322" s="72">
        <f t="shared" ca="1" si="134"/>
        <v>123.9019268697236</v>
      </c>
    </row>
    <row r="323" spans="1:30">
      <c r="A323" s="118">
        <v>23042.25</v>
      </c>
      <c r="B323" s="101">
        <f t="shared" ca="1" si="108"/>
        <v>1181.6244334093574</v>
      </c>
      <c r="C323" s="102">
        <f t="shared" ca="1" si="109"/>
        <v>1.5699500341057016</v>
      </c>
      <c r="D323" s="102">
        <f t="shared" si="110"/>
        <v>30.637025121816773</v>
      </c>
      <c r="E323" s="103">
        <f t="shared" si="111"/>
        <v>1.5381502834708749</v>
      </c>
      <c r="F323" s="101">
        <f t="shared" si="112"/>
        <v>1737.3450055425812</v>
      </c>
      <c r="G323" s="104">
        <f t="shared" si="113"/>
        <v>1.570220735848926</v>
      </c>
      <c r="H323" s="113">
        <f t="shared" si="114"/>
        <v>2.3908571515658061</v>
      </c>
      <c r="I323" s="114">
        <f t="shared" si="115"/>
        <v>1.139267422038972</v>
      </c>
      <c r="J323" s="101">
        <f t="shared" si="116"/>
        <v>1.0001047989067988</v>
      </c>
      <c r="K323" s="104">
        <f t="shared" si="117"/>
        <v>1.4476861211939548E-2</v>
      </c>
      <c r="L323" s="102">
        <f t="shared" si="118"/>
        <v>1</v>
      </c>
      <c r="M323" s="103">
        <f t="shared" si="119"/>
        <v>7.6008831401435634E-10</v>
      </c>
      <c r="N323" s="101">
        <f t="shared" si="120"/>
        <v>1</v>
      </c>
      <c r="O323" s="104">
        <f t="shared" si="121"/>
        <v>1.21614130242297E-10</v>
      </c>
      <c r="P323" s="105">
        <f t="shared" ca="1" si="122"/>
        <v>1.6282458247976308</v>
      </c>
      <c r="Q323" s="106">
        <f t="shared" ca="1" si="123"/>
        <v>0.95016427881693288</v>
      </c>
      <c r="R323" s="107">
        <f t="shared" ca="1" si="124"/>
        <v>-20.990466287967202</v>
      </c>
      <c r="S323" s="108">
        <f t="shared" ca="1" si="125"/>
        <v>-81.783663674643506</v>
      </c>
      <c r="T323" s="116">
        <f t="shared" ca="1" si="126"/>
        <v>98.216336325356494</v>
      </c>
      <c r="V323" s="72">
        <f t="shared" ca="1" si="127"/>
        <v>23042.25</v>
      </c>
      <c r="W323" s="72">
        <f t="shared" si="128"/>
        <v>530945285.0625</v>
      </c>
      <c r="Y323" s="110">
        <f t="shared" si="129"/>
        <v>6.8548406021234936</v>
      </c>
      <c r="Z323" s="111">
        <f t="shared" si="130"/>
        <v>-25.5212690891085</v>
      </c>
      <c r="AA323" s="72">
        <f t="shared" si="131"/>
        <v>154.4787309108915</v>
      </c>
      <c r="AB323" s="110">
        <f t="shared" ca="1" si="132"/>
        <v>-11.927706543209187</v>
      </c>
      <c r="AC323" s="111">
        <f t="shared" ca="1" si="133"/>
        <v>-56.262394585535048</v>
      </c>
      <c r="AD323" s="72">
        <f t="shared" ca="1" si="134"/>
        <v>123.73760541446495</v>
      </c>
    </row>
    <row r="324" spans="1:30">
      <c r="A324" s="118">
        <v>23175.5</v>
      </c>
      <c r="B324" s="101">
        <f t="shared" ca="1" si="108"/>
        <v>1188.4575917731238</v>
      </c>
      <c r="C324" s="102">
        <f t="shared" ca="1" si="109"/>
        <v>1.5699548999531463</v>
      </c>
      <c r="D324" s="102">
        <f t="shared" si="110"/>
        <v>30.81400639643341</v>
      </c>
      <c r="E324" s="103">
        <f t="shared" si="111"/>
        <v>1.5383378531773308</v>
      </c>
      <c r="F324" s="101">
        <f t="shared" si="112"/>
        <v>1747.3918171825708</v>
      </c>
      <c r="G324" s="104">
        <f t="shared" si="113"/>
        <v>1.5702240452695106</v>
      </c>
      <c r="H324" s="113">
        <f t="shared" si="114"/>
        <v>2.4022701381832969</v>
      </c>
      <c r="I324" s="114">
        <f t="shared" si="115"/>
        <v>1.1414539912028854</v>
      </c>
      <c r="J324" s="101">
        <f t="shared" si="116"/>
        <v>1.0001060144208449</v>
      </c>
      <c r="K324" s="104">
        <f t="shared" si="117"/>
        <v>1.4560567008932225E-2</v>
      </c>
      <c r="L324" s="102">
        <f t="shared" si="118"/>
        <v>1</v>
      </c>
      <c r="M324" s="103">
        <f t="shared" si="119"/>
        <v>7.6448379483078757E-10</v>
      </c>
      <c r="N324" s="101">
        <f t="shared" si="120"/>
        <v>1</v>
      </c>
      <c r="O324" s="104">
        <f t="shared" si="121"/>
        <v>1.2231740717292602E-10</v>
      </c>
      <c r="P324" s="105">
        <f t="shared" ca="1" si="122"/>
        <v>1.6341266424519987</v>
      </c>
      <c r="Q324" s="106">
        <f t="shared" ca="1" si="123"/>
        <v>0.95319687584992308</v>
      </c>
      <c r="R324" s="107">
        <f t="shared" ca="1" si="124"/>
        <v>-21.030564882473644</v>
      </c>
      <c r="S324" s="108">
        <f t="shared" ca="1" si="125"/>
        <v>-81.826654945428231</v>
      </c>
      <c r="T324" s="116">
        <f t="shared" ca="1" si="126"/>
        <v>98.173345054571769</v>
      </c>
      <c r="V324" s="72">
        <f t="shared" ca="1" si="127"/>
        <v>23175.5</v>
      </c>
      <c r="W324" s="72">
        <f t="shared" si="128"/>
        <v>537103800.25</v>
      </c>
      <c r="Y324" s="110">
        <f t="shared" si="129"/>
        <v>6.8461097747489239</v>
      </c>
      <c r="Z324" s="111">
        <f t="shared" si="130"/>
        <v>-25.400973508774406</v>
      </c>
      <c r="AA324" s="72">
        <f t="shared" si="131"/>
        <v>154.5990264912256</v>
      </c>
      <c r="AB324" s="110">
        <f t="shared" ca="1" si="132"/>
        <v>-11.959074310341064</v>
      </c>
      <c r="AC324" s="111">
        <f t="shared" ca="1" si="133"/>
        <v>-56.425681436653761</v>
      </c>
      <c r="AD324" s="72">
        <f t="shared" ca="1" si="134"/>
        <v>123.57431856334624</v>
      </c>
    </row>
    <row r="325" spans="1:30">
      <c r="A325" s="118">
        <v>23308.75</v>
      </c>
      <c r="B325" s="101">
        <f t="shared" ca="1" si="108"/>
        <v>1195.2907501647069</v>
      </c>
      <c r="C325" s="102">
        <f t="shared" ca="1" si="109"/>
        <v>1.5699597101670872</v>
      </c>
      <c r="D325" s="102">
        <f t="shared" si="110"/>
        <v>30.990988742778423</v>
      </c>
      <c r="E325" s="103">
        <f t="shared" si="111"/>
        <v>1.5385232805560993</v>
      </c>
      <c r="F325" s="101">
        <f t="shared" si="112"/>
        <v>1757.4386288414794</v>
      </c>
      <c r="G325" s="104">
        <f t="shared" si="113"/>
        <v>1.5702273168519314</v>
      </c>
      <c r="H325" s="113">
        <f t="shared" si="114"/>
        <v>2.413694501609585</v>
      </c>
      <c r="I325" s="114">
        <f t="shared" si="115"/>
        <v>1.143619871947525</v>
      </c>
      <c r="J325" s="101">
        <f t="shared" si="116"/>
        <v>1.000107236942277</v>
      </c>
      <c r="K325" s="104">
        <f t="shared" si="117"/>
        <v>1.4644272601869079E-2</v>
      </c>
      <c r="L325" s="102">
        <f t="shared" si="118"/>
        <v>1</v>
      </c>
      <c r="M325" s="103">
        <f t="shared" si="119"/>
        <v>7.688792756472188E-10</v>
      </c>
      <c r="N325" s="101">
        <f t="shared" si="120"/>
        <v>1</v>
      </c>
      <c r="O325" s="104">
        <f t="shared" si="121"/>
        <v>1.2302068410355501E-10</v>
      </c>
      <c r="P325" s="105">
        <f t="shared" ca="1" si="122"/>
        <v>1.6400203330808583</v>
      </c>
      <c r="Q325" s="106">
        <f t="shared" ca="1" si="123"/>
        <v>0.956209465621633</v>
      </c>
      <c r="R325" s="107">
        <f t="shared" ca="1" si="124"/>
        <v>-21.070486288551741</v>
      </c>
      <c r="S325" s="108">
        <f t="shared" ca="1" si="125"/>
        <v>-81.869802622802382</v>
      </c>
      <c r="T325" s="116">
        <f t="shared" ca="1" si="126"/>
        <v>98.130197377197618</v>
      </c>
      <c r="V325" s="72">
        <f t="shared" ca="1" si="127"/>
        <v>23308.75</v>
      </c>
      <c r="W325" s="72">
        <f t="shared" si="128"/>
        <v>543297826.5625</v>
      </c>
      <c r="Y325" s="110">
        <f t="shared" si="129"/>
        <v>6.8375109161313921</v>
      </c>
      <c r="Z325" s="111">
        <f t="shared" si="130"/>
        <v>-25.281861107892222</v>
      </c>
      <c r="AA325" s="72">
        <f t="shared" si="131"/>
        <v>154.71813889210779</v>
      </c>
      <c r="AB325" s="110">
        <f t="shared" ca="1" si="132"/>
        <v>-11.990396857801628</v>
      </c>
      <c r="AC325" s="111">
        <f t="shared" ca="1" si="133"/>
        <v>-56.587941514910206</v>
      </c>
      <c r="AD325" s="72">
        <f t="shared" ca="1" si="134"/>
        <v>123.4120584850898</v>
      </c>
    </row>
    <row r="326" spans="1:30">
      <c r="A326" s="118">
        <v>23442</v>
      </c>
      <c r="B326" s="101">
        <f t="shared" ca="1" si="108"/>
        <v>1202.1239085836326</v>
      </c>
      <c r="C326" s="102">
        <f t="shared" ca="1" si="109"/>
        <v>1.5699644656962264</v>
      </c>
      <c r="D326" s="102">
        <f t="shared" si="110"/>
        <v>31.167972142594909</v>
      </c>
      <c r="E326" s="103">
        <f t="shared" si="111"/>
        <v>1.5387066020891322</v>
      </c>
      <c r="F326" s="101">
        <f t="shared" si="112"/>
        <v>1767.4854405189844</v>
      </c>
      <c r="G326" s="104">
        <f t="shared" si="113"/>
        <v>1.5702305512414321</v>
      </c>
      <c r="H326" s="113">
        <f t="shared" si="114"/>
        <v>2.4251300810622087</v>
      </c>
      <c r="I326" s="114">
        <f t="shared" si="115"/>
        <v>1.1457653364733313</v>
      </c>
      <c r="J326" s="101">
        <f t="shared" si="116"/>
        <v>1.0001084664710695</v>
      </c>
      <c r="K326" s="104">
        <f t="shared" si="117"/>
        <v>1.4727977989577876E-2</v>
      </c>
      <c r="L326" s="102">
        <f t="shared" si="118"/>
        <v>1</v>
      </c>
      <c r="M326" s="103">
        <f t="shared" si="119"/>
        <v>7.7327475646365013E-10</v>
      </c>
      <c r="N326" s="101">
        <f t="shared" si="120"/>
        <v>1</v>
      </c>
      <c r="O326" s="104">
        <f t="shared" si="121"/>
        <v>1.2372396103418401E-10</v>
      </c>
      <c r="P326" s="105">
        <f t="shared" ca="1" si="122"/>
        <v>1.645926762407717</v>
      </c>
      <c r="Q326" s="106">
        <f t="shared" ca="1" si="123"/>
        <v>0.95920221993393628</v>
      </c>
      <c r="R326" s="107">
        <f t="shared" ca="1" si="124"/>
        <v>-21.110232469498907</v>
      </c>
      <c r="S326" s="108">
        <f t="shared" ca="1" si="125"/>
        <v>-81.913098955349454</v>
      </c>
      <c r="T326" s="116">
        <f t="shared" ca="1" si="126"/>
        <v>98.086901044650546</v>
      </c>
      <c r="V326" s="72">
        <f t="shared" ca="1" si="127"/>
        <v>23442</v>
      </c>
      <c r="W326" s="72">
        <f t="shared" si="128"/>
        <v>549527364</v>
      </c>
      <c r="Y326" s="110">
        <f t="shared" si="129"/>
        <v>6.8290414478085451</v>
      </c>
      <c r="Z326" s="111">
        <f t="shared" si="130"/>
        <v>-25.163916327428062</v>
      </c>
      <c r="AA326" s="72">
        <f t="shared" si="131"/>
        <v>154.83608367257193</v>
      </c>
      <c r="AB326" s="110">
        <f t="shared" ca="1" si="132"/>
        <v>-12.021673570425948</v>
      </c>
      <c r="AC326" s="111">
        <f t="shared" ca="1" si="133"/>
        <v>-56.749182627921357</v>
      </c>
      <c r="AD326" s="72">
        <f t="shared" ca="1" si="134"/>
        <v>123.25081737207864</v>
      </c>
    </row>
    <row r="327" spans="1:30">
      <c r="A327" s="118">
        <v>23578.5</v>
      </c>
      <c r="B327" s="101">
        <f t="shared" ca="1" si="108"/>
        <v>1209.123729430886</v>
      </c>
      <c r="C327" s="102">
        <f t="shared" ca="1" si="109"/>
        <v>1.5699692814812864</v>
      </c>
      <c r="D327" s="102">
        <f t="shared" si="110"/>
        <v>31.349273284375347</v>
      </c>
      <c r="E327" s="103">
        <f t="shared" si="111"/>
        <v>1.5388922486330545</v>
      </c>
      <c r="F327" s="101">
        <f t="shared" si="112"/>
        <v>1777.7772964026988</v>
      </c>
      <c r="G327" s="104">
        <f t="shared" si="113"/>
        <v>1.5702338266129234</v>
      </c>
      <c r="H327" s="113">
        <f t="shared" si="114"/>
        <v>2.4368560417334133</v>
      </c>
      <c r="I327" s="114">
        <f t="shared" si="115"/>
        <v>1.1479422401300916</v>
      </c>
      <c r="J327" s="101">
        <f t="shared" si="116"/>
        <v>1.0001097332541538</v>
      </c>
      <c r="K327" s="104">
        <f t="shared" si="117"/>
        <v>1.4813724758086056E-2</v>
      </c>
      <c r="L327" s="102">
        <f t="shared" si="118"/>
        <v>1</v>
      </c>
      <c r="M327" s="103">
        <f t="shared" si="119"/>
        <v>7.7777744412926261E-10</v>
      </c>
      <c r="N327" s="101">
        <f t="shared" si="120"/>
        <v>1</v>
      </c>
      <c r="O327" s="104">
        <f t="shared" si="121"/>
        <v>1.2444439106068202E-10</v>
      </c>
      <c r="P327" s="105">
        <f t="shared" ca="1" si="122"/>
        <v>1.6519903208940898</v>
      </c>
      <c r="Q327" s="106">
        <f t="shared" ca="1" si="123"/>
        <v>0.96224757948437833</v>
      </c>
      <c r="R327" s="107">
        <f t="shared" ca="1" si="124"/>
        <v>-21.150768389210835</v>
      </c>
      <c r="S327" s="108">
        <f t="shared" ca="1" si="125"/>
        <v>-81.957597566201017</v>
      </c>
      <c r="T327" s="116">
        <f t="shared" ca="1" si="126"/>
        <v>98.042402433798983</v>
      </c>
      <c r="V327" s="72">
        <f t="shared" ca="1" si="127"/>
        <v>23578.5</v>
      </c>
      <c r="W327" s="72">
        <f t="shared" si="128"/>
        <v>555945662.25</v>
      </c>
      <c r="Y327" s="110">
        <f t="shared" si="129"/>
        <v>6.8204969384215799</v>
      </c>
      <c r="Z327" s="111">
        <f t="shared" si="130"/>
        <v>-25.044289528040899</v>
      </c>
      <c r="AA327" s="72">
        <f t="shared" si="131"/>
        <v>154.95571047195909</v>
      </c>
      <c r="AB327" s="110">
        <f t="shared" ca="1" si="132"/>
        <v>-12.053664980750909</v>
      </c>
      <c r="AC327" s="111">
        <f t="shared" ca="1" si="133"/>
        <v>-56.913308038160153</v>
      </c>
      <c r="AD327" s="72">
        <f t="shared" ca="1" si="134"/>
        <v>123.08669196183985</v>
      </c>
    </row>
    <row r="328" spans="1:30">
      <c r="A328" s="118">
        <v>23715</v>
      </c>
      <c r="B328" s="101">
        <f t="shared" ca="1" si="108"/>
        <v>1216.1235503058583</v>
      </c>
      <c r="C328" s="102">
        <f t="shared" ca="1" si="109"/>
        <v>1.5699740418285044</v>
      </c>
      <c r="D328" s="102">
        <f t="shared" si="110"/>
        <v>31.530575494172055</v>
      </c>
      <c r="E328" s="103">
        <f t="shared" si="111"/>
        <v>1.5390757602314915</v>
      </c>
      <c r="F328" s="101">
        <f t="shared" si="112"/>
        <v>1788.0691523052653</v>
      </c>
      <c r="G328" s="104">
        <f t="shared" si="113"/>
        <v>1.570237064279328</v>
      </c>
      <c r="H328" s="113">
        <f t="shared" si="114"/>
        <v>2.4485934398093958</v>
      </c>
      <c r="I328" s="114">
        <f t="shared" si="115"/>
        <v>1.1500982838310279</v>
      </c>
      <c r="J328" s="101">
        <f t="shared" si="116"/>
        <v>1.0001110073905346</v>
      </c>
      <c r="K328" s="104">
        <f t="shared" si="117"/>
        <v>1.4899471308742786E-2</v>
      </c>
      <c r="L328" s="102">
        <f t="shared" si="118"/>
        <v>1</v>
      </c>
      <c r="M328" s="103">
        <f t="shared" si="119"/>
        <v>7.8228013179487509E-10</v>
      </c>
      <c r="N328" s="101">
        <f t="shared" si="120"/>
        <v>1</v>
      </c>
      <c r="O328" s="104">
        <f t="shared" si="121"/>
        <v>1.2516482108718E-10</v>
      </c>
      <c r="P328" s="105">
        <f t="shared" ca="1" si="122"/>
        <v>1.6580669670822823</v>
      </c>
      <c r="Q328" s="106">
        <f t="shared" ca="1" si="123"/>
        <v>0.9652724851473915</v>
      </c>
      <c r="R328" s="107">
        <f t="shared" ca="1" si="124"/>
        <v>-21.191124467658341</v>
      </c>
      <c r="S328" s="108">
        <f t="shared" ca="1" si="125"/>
        <v>-82.002236417245172</v>
      </c>
      <c r="T328" s="116">
        <f t="shared" ca="1" si="126"/>
        <v>97.997763582754828</v>
      </c>
      <c r="V328" s="72">
        <f t="shared" ca="1" si="127"/>
        <v>23715</v>
      </c>
      <c r="W328" s="72">
        <f t="shared" si="128"/>
        <v>562401225</v>
      </c>
      <c r="Y328" s="110">
        <f t="shared" si="129"/>
        <v>6.8120829245986956</v>
      </c>
      <c r="Z328" s="111">
        <f t="shared" si="130"/>
        <v>-24.925855743260321</v>
      </c>
      <c r="AA328" s="72">
        <f t="shared" si="131"/>
        <v>155.07414425673969</v>
      </c>
      <c r="AB328" s="110">
        <f t="shared" ca="1" si="132"/>
        <v>-12.085607045375532</v>
      </c>
      <c r="AC328" s="111">
        <f t="shared" ca="1" si="133"/>
        <v>-57.076380673984815</v>
      </c>
      <c r="AD328" s="72">
        <f t="shared" ca="1" si="134"/>
        <v>122.92361932601519</v>
      </c>
    </row>
    <row r="329" spans="1:30">
      <c r="A329" s="118">
        <v>23851.5</v>
      </c>
      <c r="B329" s="101">
        <f t="shared" ca="1" si="108"/>
        <v>1223.1233712080739</v>
      </c>
      <c r="C329" s="102">
        <f t="shared" ca="1" si="109"/>
        <v>1.5699787476896767</v>
      </c>
      <c r="D329" s="102">
        <f t="shared" si="110"/>
        <v>31.711878753666952</v>
      </c>
      <c r="E329" s="103">
        <f t="shared" si="111"/>
        <v>1.5392571734897287</v>
      </c>
      <c r="F329" s="101">
        <f t="shared" si="112"/>
        <v>1798.3610082263608</v>
      </c>
      <c r="G329" s="104">
        <f t="shared" si="113"/>
        <v>1.5702402648879938</v>
      </c>
      <c r="H329" s="113">
        <f t="shared" si="114"/>
        <v>2.4603421115990574</v>
      </c>
      <c r="I329" s="114">
        <f t="shared" si="115"/>
        <v>1.1522337462192691</v>
      </c>
      <c r="J329" s="101">
        <f t="shared" si="116"/>
        <v>1.0001122888801839</v>
      </c>
      <c r="K329" s="104">
        <f t="shared" si="117"/>
        <v>1.4985217640288002E-2</v>
      </c>
      <c r="L329" s="102">
        <f t="shared" si="118"/>
        <v>1</v>
      </c>
      <c r="M329" s="103">
        <f t="shared" si="119"/>
        <v>7.8678281946048757E-10</v>
      </c>
      <c r="N329" s="101">
        <f t="shared" si="120"/>
        <v>1</v>
      </c>
      <c r="O329" s="104">
        <f t="shared" si="121"/>
        <v>1.2588525111367801E-10</v>
      </c>
      <c r="P329" s="105">
        <f t="shared" ca="1" si="122"/>
        <v>1.6641565619402483</v>
      </c>
      <c r="Q329" s="106">
        <f t="shared" ca="1" si="123"/>
        <v>0.96827711752173196</v>
      </c>
      <c r="R329" s="107">
        <f t="shared" ca="1" si="124"/>
        <v>-21.231302681105305</v>
      </c>
      <c r="S329" s="108">
        <f t="shared" ca="1" si="125"/>
        <v>-82.047007885176669</v>
      </c>
      <c r="T329" s="116">
        <f t="shared" ca="1" si="126"/>
        <v>97.952992114823331</v>
      </c>
      <c r="V329" s="72">
        <f t="shared" ca="1" si="127"/>
        <v>23851.5</v>
      </c>
      <c r="W329" s="72">
        <f t="shared" si="128"/>
        <v>568894052.25</v>
      </c>
      <c r="Y329" s="110">
        <f t="shared" si="129"/>
        <v>6.8037968279228211</v>
      </c>
      <c r="Z329" s="111">
        <f t="shared" si="130"/>
        <v>-24.808599045029194</v>
      </c>
      <c r="AA329" s="72">
        <f t="shared" si="131"/>
        <v>155.19140095497082</v>
      </c>
      <c r="AB329" s="110">
        <f t="shared" ca="1" si="132"/>
        <v>-12.117499162146625</v>
      </c>
      <c r="AC329" s="111">
        <f t="shared" ca="1" si="133"/>
        <v>-57.238408840147486</v>
      </c>
      <c r="AD329" s="72">
        <f t="shared" ca="1" si="134"/>
        <v>122.76159115985251</v>
      </c>
    </row>
    <row r="330" spans="1:30">
      <c r="A330" s="118">
        <v>23988</v>
      </c>
      <c r="B330" s="101">
        <f t="shared" ca="1" si="108"/>
        <v>1230.1231921370675</v>
      </c>
      <c r="C330" s="102">
        <f t="shared" ca="1" si="109"/>
        <v>1.5699833999949357</v>
      </c>
      <c r="D330" s="102">
        <f t="shared" si="110"/>
        <v>31.893183044958363</v>
      </c>
      <c r="E330" s="103">
        <f t="shared" si="111"/>
        <v>1.5394365241812451</v>
      </c>
      <c r="F330" s="101">
        <f t="shared" si="112"/>
        <v>1808.6528641656691</v>
      </c>
      <c r="G330" s="104">
        <f t="shared" si="113"/>
        <v>1.5702434290715346</v>
      </c>
      <c r="H330" s="113">
        <f t="shared" si="114"/>
        <v>2.4721018963673269</v>
      </c>
      <c r="I330" s="114">
        <f t="shared" si="115"/>
        <v>1.1543489013944122</v>
      </c>
      <c r="J330" s="101">
        <f t="shared" si="116"/>
        <v>1.0001135777230732</v>
      </c>
      <c r="K330" s="104">
        <f t="shared" si="117"/>
        <v>1.5070963751461662E-2</v>
      </c>
      <c r="L330" s="102">
        <f t="shared" si="118"/>
        <v>1</v>
      </c>
      <c r="M330" s="103">
        <f t="shared" si="119"/>
        <v>7.9128550712610005E-10</v>
      </c>
      <c r="N330" s="101">
        <f t="shared" si="120"/>
        <v>1</v>
      </c>
      <c r="O330" s="104">
        <f t="shared" si="121"/>
        <v>1.2660568114017601E-10</v>
      </c>
      <c r="P330" s="105">
        <f t="shared" ca="1" si="122"/>
        <v>1.6702589681851507</v>
      </c>
      <c r="Q330" s="106">
        <f t="shared" ca="1" si="123"/>
        <v>0.97126165581738244</v>
      </c>
      <c r="R330" s="107">
        <f t="shared" ca="1" si="124"/>
        <v>-21.271304963303837</v>
      </c>
      <c r="S330" s="108">
        <f t="shared" ca="1" si="125"/>
        <v>-82.091904573018311</v>
      </c>
      <c r="T330" s="116">
        <f t="shared" ca="1" si="126"/>
        <v>97.908095426981689</v>
      </c>
      <c r="V330" s="72">
        <f t="shared" ca="1" si="127"/>
        <v>23988</v>
      </c>
      <c r="W330" s="72">
        <f t="shared" si="128"/>
        <v>575424144</v>
      </c>
      <c r="Y330" s="110">
        <f t="shared" si="129"/>
        <v>6.7956361316252281</v>
      </c>
      <c r="Z330" s="111">
        <f t="shared" si="130"/>
        <v>-24.692503764771271</v>
      </c>
      <c r="AA330" s="72">
        <f t="shared" si="131"/>
        <v>155.30749623522874</v>
      </c>
      <c r="AB330" s="110">
        <f t="shared" ca="1" si="132"/>
        <v>-12.149340748047564</v>
      </c>
      <c r="AC330" s="111">
        <f t="shared" ca="1" si="133"/>
        <v>-57.399400808247101</v>
      </c>
      <c r="AD330" s="72">
        <f t="shared" ca="1" si="134"/>
        <v>122.60059919175291</v>
      </c>
    </row>
    <row r="331" spans="1:30">
      <c r="A331" s="118">
        <v>24127.75</v>
      </c>
      <c r="B331" s="101">
        <f t="shared" ca="1" si="108"/>
        <v>1237.2896754963995</v>
      </c>
      <c r="C331" s="102">
        <f t="shared" ca="1" si="109"/>
        <v>1.5699881085347158</v>
      </c>
      <c r="D331" s="102">
        <f t="shared" si="110"/>
        <v>32.078805155760634</v>
      </c>
      <c r="E331" s="103">
        <f t="shared" si="111"/>
        <v>1.5396180448192833</v>
      </c>
      <c r="F331" s="101">
        <f t="shared" si="112"/>
        <v>1819.1897643125537</v>
      </c>
      <c r="G331" s="104">
        <f t="shared" si="113"/>
        <v>1.5702466315019821</v>
      </c>
      <c r="H331" s="113">
        <f t="shared" si="114"/>
        <v>2.4841530242278895</v>
      </c>
      <c r="I331" s="114">
        <f t="shared" si="115"/>
        <v>1.1564936607145018</v>
      </c>
      <c r="J331" s="101">
        <f t="shared" si="116"/>
        <v>1.0001149048706082</v>
      </c>
      <c r="K331" s="104">
        <f t="shared" si="117"/>
        <v>1.5158751207090707E-2</v>
      </c>
      <c r="L331" s="102">
        <f t="shared" si="118"/>
        <v>1</v>
      </c>
      <c r="M331" s="103">
        <f t="shared" si="119"/>
        <v>7.9589540164089379E-10</v>
      </c>
      <c r="N331" s="101">
        <f t="shared" si="120"/>
        <v>1</v>
      </c>
      <c r="O331" s="104">
        <f t="shared" si="121"/>
        <v>1.2734326426254301E-10</v>
      </c>
      <c r="P331" s="105">
        <f t="shared" ca="1" si="122"/>
        <v>1.6765198008462079</v>
      </c>
      <c r="Q331" s="106">
        <f t="shared" ca="1" si="123"/>
        <v>0.97429662279981499</v>
      </c>
      <c r="R331" s="107">
        <f t="shared" ca="1" si="124"/>
        <v>-21.31207939241207</v>
      </c>
      <c r="S331" s="108">
        <f t="shared" ca="1" si="125"/>
        <v>-82.137992464245158</v>
      </c>
      <c r="T331" s="116">
        <f t="shared" ca="1" si="126"/>
        <v>97.862007535754842</v>
      </c>
      <c r="V331" s="72">
        <f t="shared" ca="1" si="127"/>
        <v>24127.75</v>
      </c>
      <c r="W331" s="72">
        <f t="shared" si="128"/>
        <v>582148320.0625</v>
      </c>
      <c r="Y331" s="110">
        <f t="shared" si="129"/>
        <v>6.7874084824315606</v>
      </c>
      <c r="Z331" s="111">
        <f t="shared" si="130"/>
        <v>-24.574831443753027</v>
      </c>
      <c r="AA331" s="72">
        <f t="shared" si="131"/>
        <v>155.42516855624697</v>
      </c>
      <c r="AB331" s="110">
        <f t="shared" ca="1" si="132"/>
        <v>-12.181887527962123</v>
      </c>
      <c r="AC331" s="111">
        <f t="shared" ca="1" si="133"/>
        <v>-57.563161020492117</v>
      </c>
      <c r="AD331" s="72">
        <f t="shared" ca="1" si="134"/>
        <v>122.43683897950788</v>
      </c>
    </row>
    <row r="332" spans="1:30">
      <c r="A332" s="118">
        <v>24267.5</v>
      </c>
      <c r="B332" s="101">
        <f t="shared" ca="1" si="108"/>
        <v>1244.4561588828465</v>
      </c>
      <c r="C332" s="102">
        <f t="shared" ca="1" si="109"/>
        <v>1.5699927628441048</v>
      </c>
      <c r="D332" s="102">
        <f t="shared" si="110"/>
        <v>32.26442831138921</v>
      </c>
      <c r="E332" s="103">
        <f t="shared" si="111"/>
        <v>1.5397974768203335</v>
      </c>
      <c r="F332" s="101">
        <f t="shared" si="112"/>
        <v>1829.7266644778804</v>
      </c>
      <c r="G332" s="104">
        <f t="shared" si="113"/>
        <v>1.5702497970485709</v>
      </c>
      <c r="H332" s="113">
        <f t="shared" si="114"/>
        <v>2.4962154688089044</v>
      </c>
      <c r="I332" s="114">
        <f t="shared" si="115"/>
        <v>1.1586177015156827</v>
      </c>
      <c r="J332" s="101">
        <f t="shared" si="116"/>
        <v>1.0001162397256458</v>
      </c>
      <c r="K332" s="104">
        <f t="shared" si="117"/>
        <v>1.5246538429056482E-2</v>
      </c>
      <c r="L332" s="102">
        <f t="shared" si="118"/>
        <v>1</v>
      </c>
      <c r="M332" s="103">
        <f t="shared" si="119"/>
        <v>8.0050529615568763E-10</v>
      </c>
      <c r="N332" s="101">
        <f t="shared" si="120"/>
        <v>1</v>
      </c>
      <c r="O332" s="104">
        <f t="shared" si="121"/>
        <v>1.2808084738491001E-10</v>
      </c>
      <c r="P332" s="105">
        <f t="shared" ca="1" si="122"/>
        <v>1.6827937765270273</v>
      </c>
      <c r="Q332" s="106">
        <f t="shared" ca="1" si="123"/>
        <v>0.9773109031363868</v>
      </c>
      <c r="R332" s="107">
        <f t="shared" ca="1" si="124"/>
        <v>-21.352673384076407</v>
      </c>
      <c r="S332" s="108">
        <f t="shared" ca="1" si="125"/>
        <v>-82.184196617897655</v>
      </c>
      <c r="T332" s="116">
        <f t="shared" ca="1" si="126"/>
        <v>97.815803382102345</v>
      </c>
      <c r="V332" s="72">
        <f t="shared" ca="1" si="127"/>
        <v>24267.5</v>
      </c>
      <c r="W332" s="72">
        <f t="shared" si="128"/>
        <v>588911556.25</v>
      </c>
      <c r="Y332" s="110">
        <f t="shared" si="129"/>
        <v>6.7793071279053576</v>
      </c>
      <c r="Z332" s="111">
        <f t="shared" si="130"/>
        <v>-24.45834407975002</v>
      </c>
      <c r="AA332" s="72">
        <f t="shared" si="131"/>
        <v>155.54165592024998</v>
      </c>
      <c r="AB332" s="110">
        <f t="shared" ca="1" si="132"/>
        <v>-12.214380165100261</v>
      </c>
      <c r="AC332" s="111">
        <f t="shared" ca="1" si="133"/>
        <v>-57.72585253814762</v>
      </c>
      <c r="AD332" s="72">
        <f t="shared" ca="1" si="134"/>
        <v>122.27414746185238</v>
      </c>
    </row>
    <row r="333" spans="1:30">
      <c r="A333" s="118">
        <v>24407.25</v>
      </c>
      <c r="B333" s="101">
        <f t="shared" ca="1" si="108"/>
        <v>1251.622642295943</v>
      </c>
      <c r="C333" s="102">
        <f t="shared" ca="1" si="109"/>
        <v>1.5699973638546323</v>
      </c>
      <c r="D333" s="102">
        <f t="shared" si="110"/>
        <v>32.450052493914022</v>
      </c>
      <c r="E333" s="103">
        <f t="shared" si="111"/>
        <v>1.539974856015661</v>
      </c>
      <c r="F333" s="101">
        <f t="shared" si="112"/>
        <v>1840.2635646613319</v>
      </c>
      <c r="G333" s="104">
        <f t="shared" si="113"/>
        <v>1.5702529263448648</v>
      </c>
      <c r="H333" s="113">
        <f t="shared" si="114"/>
        <v>2.5082890668429347</v>
      </c>
      <c r="I333" s="114">
        <f t="shared" si="115"/>
        <v>1.16072130367765</v>
      </c>
      <c r="J333" s="101">
        <f t="shared" si="116"/>
        <v>1.0001175822881547</v>
      </c>
      <c r="K333" s="104">
        <f t="shared" si="117"/>
        <v>1.5334325416006841E-2</v>
      </c>
      <c r="L333" s="102">
        <f t="shared" si="118"/>
        <v>1</v>
      </c>
      <c r="M333" s="103">
        <f t="shared" si="119"/>
        <v>8.0511519067048136E-10</v>
      </c>
      <c r="N333" s="101">
        <f t="shared" si="120"/>
        <v>1</v>
      </c>
      <c r="O333" s="104">
        <f t="shared" si="121"/>
        <v>1.28818430507277E-10</v>
      </c>
      <c r="P333" s="105">
        <f t="shared" ca="1" si="122"/>
        <v>1.6890807534630643</v>
      </c>
      <c r="Q333" s="106">
        <f t="shared" ca="1" si="123"/>
        <v>0.98030468459468822</v>
      </c>
      <c r="R333" s="107">
        <f t="shared" ca="1" si="124"/>
        <v>-21.393088883434338</v>
      </c>
      <c r="S333" s="108">
        <f t="shared" ca="1" si="125"/>
        <v>-82.230509792956553</v>
      </c>
      <c r="T333" s="116">
        <f t="shared" ca="1" si="126"/>
        <v>97.769490207043447</v>
      </c>
      <c r="V333" s="72">
        <f t="shared" ca="1" si="127"/>
        <v>24407.25</v>
      </c>
      <c r="W333" s="72">
        <f t="shared" si="128"/>
        <v>595713852.5625</v>
      </c>
      <c r="Y333" s="110">
        <f t="shared" si="129"/>
        <v>6.7713295569932335</v>
      </c>
      <c r="Z333" s="111">
        <f t="shared" si="130"/>
        <v>-24.343025673059962</v>
      </c>
      <c r="AA333" s="72">
        <f t="shared" si="131"/>
        <v>155.65697432694003</v>
      </c>
      <c r="AB333" s="110">
        <f t="shared" ca="1" si="132"/>
        <v>-12.246818093546064</v>
      </c>
      <c r="AC333" s="111">
        <f t="shared" ca="1" si="133"/>
        <v>-57.887484119896534</v>
      </c>
      <c r="AD333" s="72">
        <f t="shared" ca="1" si="134"/>
        <v>122.11251588010347</v>
      </c>
    </row>
    <row r="334" spans="1:30">
      <c r="A334" s="118">
        <v>24547</v>
      </c>
      <c r="B334" s="101">
        <f t="shared" ref="B334:B397" ca="1" si="135">SQRT(1+(A334/Pole1)^2)</f>
        <v>1258.7891257352342</v>
      </c>
      <c r="C334" s="102">
        <f t="shared" ref="C334:C397" ca="1" si="136">ATAN(A334/Pole1)</f>
        <v>1.570001912476614</v>
      </c>
      <c r="D334" s="102">
        <f t="shared" ref="D334:D397" si="137">SQRT(1+(A334/Zero1)^2)</f>
        <v>32.63567768581283</v>
      </c>
      <c r="E334" s="103">
        <f t="shared" ref="E334:E397" si="138">ATAN(A334/Zero1)</f>
        <v>1.5401502174218491</v>
      </c>
      <c r="F334" s="101">
        <f t="shared" ref="F334:F397" si="139">SQRT(1+(A334/Pole2)^2)</f>
        <v>1850.8004648625993</v>
      </c>
      <c r="G334" s="104">
        <f t="shared" ref="G334:G397" si="140">ATAN(A334/Pole2)</f>
        <v>1.57025602001</v>
      </c>
      <c r="H334" s="113">
        <f t="shared" ref="H334:H397" si="141">SQRT(1+(A334/Zero2)^2)</f>
        <v>2.5203736580414811</v>
      </c>
      <c r="I334" s="114">
        <f t="shared" ref="I334:I397" si="142">ATAN(A334/Zero2)</f>
        <v>1.1628047424432801</v>
      </c>
      <c r="J334" s="101">
        <f t="shared" ref="J334:J397" si="143">SQRT(1+(A334/pole4)^2)</f>
        <v>1.0001189325581044</v>
      </c>
      <c r="K334" s="104">
        <f t="shared" ref="K334:K397" si="144">ATAN(A334/pole4)</f>
        <v>1.5422112166589664E-2</v>
      </c>
      <c r="L334" s="102">
        <f t="shared" ref="L334:L397" si="145">SQRT(1+(A334/Zerofeed)^2)</f>
        <v>1</v>
      </c>
      <c r="M334" s="103">
        <f t="shared" ref="M334:M397" si="146">ATAN(A334/Zerofeed)</f>
        <v>8.097250851852751E-10</v>
      </c>
      <c r="N334" s="101">
        <f t="shared" ref="N334:N397" si="147">SQRT(1+(A334/Polefeed)^2)</f>
        <v>1</v>
      </c>
      <c r="O334" s="104">
        <f t="shared" ref="O334:O397" si="148">ATAN(A334/Polefeed)</f>
        <v>1.29556013629644E-10</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-21.433327794447404</v>
      </c>
      <c r="S334" s="108">
        <f t="shared" ref="S334:S397" ca="1" si="152">((E334+I334+M334)-(C334+G334+Q334+K334+O334))*radconv</f>
        <v>-82.276924970427842</v>
      </c>
      <c r="T334" s="116">
        <f t="shared" ref="T334:T397" ca="1" si="153">IF(S334&gt;0,S334,S334+180)</f>
        <v>97.723075029572158</v>
      </c>
      <c r="V334" s="72">
        <f t="shared" ref="V334:V397" ca="1" si="154">IF(R334&lt;0,A334,1000000000)</f>
        <v>24547</v>
      </c>
      <c r="W334" s="72">
        <f t="shared" ref="W334:W397" si="155">A334^2</f>
        <v>602555209</v>
      </c>
      <c r="Y334" s="110">
        <f t="shared" ref="Y334:Y397" si="156">20*LOG10(((H334*L334)/(F334*J334*N334))*Aea)</f>
        <v>6.7634733191108118</v>
      </c>
      <c r="Z334" s="111">
        <f t="shared" ref="Z334:Z397" si="157">(I334+M334-(G334+K334+O334))*radconv</f>
        <v>-24.228860488824107</v>
      </c>
      <c r="AA334" s="72">
        <f t="shared" ref="AA334:AA397" si="158">IF(Z334&gt;0,Z334,Z334+180)</f>
        <v>155.7711395111759</v>
      </c>
      <c r="AB334" s="110">
        <f t="shared" ref="AB334:AB397" ca="1" si="159">20*LOG10((D334/(B334*P334))*Acs*Am)</f>
        <v>-12.279200766676707</v>
      </c>
      <c r="AC334" s="111">
        <f t="shared" ref="AC334:AC397" ca="1" si="160">(E334-(C334+Q334))*radconv</f>
        <v>-58.048064481603696</v>
      </c>
      <c r="AD334" s="72">
        <f t="shared" ref="AD334:AD397" ca="1" si="161">IF(AC334&gt;0,AC334,AC334+180)</f>
        <v>121.95193551839631</v>
      </c>
    </row>
    <row r="335" spans="1:30">
      <c r="A335" s="118">
        <v>24690</v>
      </c>
      <c r="B335" s="101">
        <f t="shared" ca="1" si="135"/>
        <v>1266.1222716067412</v>
      </c>
      <c r="C335" s="102">
        <f t="shared" ca="1" si="136"/>
        <v>1.5700065135782801</v>
      </c>
      <c r="D335" s="102">
        <f t="shared" si="137"/>
        <v>32.825620769634114</v>
      </c>
      <c r="E335" s="103">
        <f t="shared" si="138"/>
        <v>1.5403276039755092</v>
      </c>
      <c r="F335" s="101">
        <f t="shared" si="139"/>
        <v>1861.58240927272</v>
      </c>
      <c r="G335" s="104">
        <f t="shared" si="140"/>
        <v>1.5702591493682556</v>
      </c>
      <c r="H335" s="113">
        <f t="shared" si="141"/>
        <v>2.532750501713017</v>
      </c>
      <c r="I335" s="114">
        <f t="shared" si="142"/>
        <v>1.1649160434028514</v>
      </c>
      <c r="J335" s="101">
        <f t="shared" si="143"/>
        <v>1.000120322208037</v>
      </c>
      <c r="K335" s="104">
        <f t="shared" si="144"/>
        <v>1.5511940223424307E-2</v>
      </c>
      <c r="L335" s="102">
        <f t="shared" si="145"/>
        <v>1</v>
      </c>
      <c r="M335" s="103">
        <f t="shared" si="146"/>
        <v>8.1444218654925009E-10</v>
      </c>
      <c r="N335" s="101">
        <f t="shared" si="147"/>
        <v>1</v>
      </c>
      <c r="O335" s="104">
        <f t="shared" si="148"/>
        <v>1.3031074984788001E-10</v>
      </c>
      <c r="P335" s="105">
        <f t="shared" ca="1" si="149"/>
        <v>1.7018401072036364</v>
      </c>
      <c r="Q335" s="106">
        <f t="shared" ca="1" si="150"/>
        <v>0.98629993856972487</v>
      </c>
      <c r="R335" s="107">
        <f t="shared" ca="1" si="151"/>
        <v>-21.474321642244156</v>
      </c>
      <c r="S335" s="108">
        <f t="shared" ca="1" si="152"/>
        <v>-82.324518063121474</v>
      </c>
      <c r="T335" s="116">
        <f t="shared" ca="1" si="153"/>
        <v>97.675481936878526</v>
      </c>
      <c r="V335" s="72">
        <f t="shared" ca="1" si="154"/>
        <v>24690</v>
      </c>
      <c r="W335" s="72">
        <f t="shared" si="155"/>
        <v>609596100</v>
      </c>
      <c r="Y335" s="110">
        <f t="shared" si="156"/>
        <v>6.755557481673228</v>
      </c>
      <c r="Z335" s="111">
        <f t="shared" si="157"/>
        <v>-24.113217921758707</v>
      </c>
      <c r="AA335" s="72">
        <f t="shared" si="158"/>
        <v>155.88678207824128</v>
      </c>
      <c r="AB335" s="110">
        <f t="shared" ca="1" si="159"/>
        <v>-12.312278777035878</v>
      </c>
      <c r="AC335" s="111">
        <f t="shared" ca="1" si="160"/>
        <v>-58.21130014136277</v>
      </c>
      <c r="AD335" s="72">
        <f t="shared" ca="1" si="161"/>
        <v>121.78869985863723</v>
      </c>
    </row>
    <row r="336" spans="1:30">
      <c r="A336" s="118">
        <v>24833</v>
      </c>
      <c r="B336" s="101">
        <f t="shared" ca="1" si="135"/>
        <v>1273.4554175047435</v>
      </c>
      <c r="C336" s="102">
        <f t="shared" ca="1" si="136"/>
        <v>1.570011061689399</v>
      </c>
      <c r="D336" s="102">
        <f t="shared" si="137"/>
        <v>33.015564874461276</v>
      </c>
      <c r="E336" s="103">
        <f t="shared" si="138"/>
        <v>1.5405029494652005</v>
      </c>
      <c r="F336" s="101">
        <f t="shared" si="139"/>
        <v>1872.3643537008611</v>
      </c>
      <c r="G336" s="104">
        <f t="shared" si="140"/>
        <v>1.5702622426859119</v>
      </c>
      <c r="H336" s="113">
        <f t="shared" si="141"/>
        <v>2.5451385255183201</v>
      </c>
      <c r="I336" s="114">
        <f t="shared" si="142"/>
        <v>1.1670068008185239</v>
      </c>
      <c r="J336" s="101">
        <f t="shared" si="143"/>
        <v>1.0001217199279979</v>
      </c>
      <c r="K336" s="104">
        <f t="shared" si="144"/>
        <v>1.5601768029905401E-2</v>
      </c>
      <c r="L336" s="102">
        <f t="shared" si="145"/>
        <v>1</v>
      </c>
      <c r="M336" s="103">
        <f t="shared" si="146"/>
        <v>8.1915928791322508E-10</v>
      </c>
      <c r="N336" s="101">
        <f t="shared" si="147"/>
        <v>1</v>
      </c>
      <c r="O336" s="104">
        <f t="shared" si="148"/>
        <v>1.3106548606611601E-10</v>
      </c>
      <c r="P336" s="105">
        <f t="shared" ca="1" si="149"/>
        <v>1.7083127984802995</v>
      </c>
      <c r="Q336" s="106">
        <f t="shared" ca="1" si="150"/>
        <v>0.98930084489169656</v>
      </c>
      <c r="R336" s="107">
        <f t="shared" ca="1" si="151"/>
        <v>-21.515134499645477</v>
      </c>
      <c r="S336" s="108">
        <f t="shared" ca="1" si="152"/>
        <v>-82.372203773304946</v>
      </c>
      <c r="T336" s="116">
        <f t="shared" ca="1" si="153"/>
        <v>97.627796226695054</v>
      </c>
      <c r="V336" s="72">
        <f t="shared" ca="1" si="154"/>
        <v>24833</v>
      </c>
      <c r="W336" s="72">
        <f t="shared" si="155"/>
        <v>616677889</v>
      </c>
      <c r="Y336" s="110">
        <f t="shared" si="156"/>
        <v>6.7477636814813788</v>
      </c>
      <c r="Z336" s="111">
        <f t="shared" si="157"/>
        <v>-23.99875033373786</v>
      </c>
      <c r="AA336" s="72">
        <f t="shared" si="158"/>
        <v>156.00124966626214</v>
      </c>
      <c r="AB336" s="110">
        <f t="shared" ca="1" si="159"/>
        <v>-12.345297834245352</v>
      </c>
      <c r="AC336" s="111">
        <f t="shared" ca="1" si="160"/>
        <v>-58.373453439567065</v>
      </c>
      <c r="AD336" s="72">
        <f t="shared" ca="1" si="161"/>
        <v>121.62654656043293</v>
      </c>
    </row>
    <row r="337" spans="1:30">
      <c r="A337" s="118">
        <v>24976</v>
      </c>
      <c r="B337" s="101">
        <f t="shared" ca="1" si="135"/>
        <v>1280.7885634287859</v>
      </c>
      <c r="C337" s="102">
        <f t="shared" ca="1" si="136"/>
        <v>1.5700155577201611</v>
      </c>
      <c r="D337" s="102">
        <f t="shared" si="137"/>
        <v>33.20550998277308</v>
      </c>
      <c r="E337" s="103">
        <f t="shared" si="138"/>
        <v>1.5406762889064738</v>
      </c>
      <c r="F337" s="101">
        <f t="shared" si="139"/>
        <v>1883.146298146713</v>
      </c>
      <c r="G337" s="104">
        <f t="shared" si="140"/>
        <v>1.5702653005820197</v>
      </c>
      <c r="H337" s="113">
        <f t="shared" si="141"/>
        <v>2.5575375669967162</v>
      </c>
      <c r="I337" s="114">
        <f t="shared" si="142"/>
        <v>1.1690772950655763</v>
      </c>
      <c r="J337" s="101">
        <f t="shared" si="143"/>
        <v>1.0001231257179533</v>
      </c>
      <c r="K337" s="104">
        <f t="shared" si="144"/>
        <v>1.5691595584584349E-2</v>
      </c>
      <c r="L337" s="102">
        <f t="shared" si="145"/>
        <v>1</v>
      </c>
      <c r="M337" s="103">
        <f t="shared" si="146"/>
        <v>8.2387638927720007E-10</v>
      </c>
      <c r="N337" s="101">
        <f t="shared" si="147"/>
        <v>1</v>
      </c>
      <c r="O337" s="104">
        <f t="shared" si="148"/>
        <v>1.31820222284352E-10</v>
      </c>
      <c r="P337" s="105">
        <f t="shared" ca="1" si="149"/>
        <v>1.7147985214150019</v>
      </c>
      <c r="Q337" s="106">
        <f t="shared" ca="1" si="150"/>
        <v>0.99228106687224482</v>
      </c>
      <c r="R337" s="107">
        <f t="shared" ca="1" si="151"/>
        <v>-21.55576828083424</v>
      </c>
      <c r="S337" s="108">
        <f t="shared" ca="1" si="152"/>
        <v>-82.41997526225515</v>
      </c>
      <c r="T337" s="116">
        <f t="shared" ca="1" si="153"/>
        <v>97.58002473774485</v>
      </c>
      <c r="V337" s="72">
        <f t="shared" ca="1" si="154"/>
        <v>24976</v>
      </c>
      <c r="W337" s="72">
        <f t="shared" si="155"/>
        <v>623800576</v>
      </c>
      <c r="Y337" s="110">
        <f t="shared" si="156"/>
        <v>6.7400894787051335</v>
      </c>
      <c r="Z337" s="111">
        <f t="shared" si="157"/>
        <v>-23.88544169582741</v>
      </c>
      <c r="AA337" s="72">
        <f t="shared" si="158"/>
        <v>156.11455830417259</v>
      </c>
      <c r="AB337" s="110">
        <f t="shared" ca="1" si="159"/>
        <v>-12.378257412657872</v>
      </c>
      <c r="AC337" s="111">
        <f t="shared" ca="1" si="160"/>
        <v>-58.534533566427783</v>
      </c>
      <c r="AD337" s="72">
        <f t="shared" ca="1" si="161"/>
        <v>121.46546643357222</v>
      </c>
    </row>
    <row r="338" spans="1:30">
      <c r="A338" s="118">
        <v>25119</v>
      </c>
      <c r="B338" s="101">
        <f t="shared" ca="1" si="135"/>
        <v>1288.1217093784237</v>
      </c>
      <c r="C338" s="102">
        <f t="shared" ca="1" si="136"/>
        <v>1.5700200025600313</v>
      </c>
      <c r="D338" s="102">
        <f t="shared" si="137"/>
        <v>33.395456077446816</v>
      </c>
      <c r="E338" s="103">
        <f t="shared" si="138"/>
        <v>1.5408476565187244</v>
      </c>
      <c r="F338" s="101">
        <f t="shared" si="139"/>
        <v>1893.928242609973</v>
      </c>
      <c r="G338" s="104">
        <f t="shared" si="140"/>
        <v>1.5702683236615327</v>
      </c>
      <c r="H338" s="113">
        <f t="shared" si="141"/>
        <v>2.5699474666796753</v>
      </c>
      <c r="I338" s="114">
        <f t="shared" si="142"/>
        <v>1.1711278018058959</v>
      </c>
      <c r="J338" s="101">
        <f t="shared" si="143"/>
        <v>1.0001245395778688</v>
      </c>
      <c r="K338" s="104">
        <f t="shared" si="144"/>
        <v>1.5781422886012589E-2</v>
      </c>
      <c r="L338" s="102">
        <f t="shared" si="145"/>
        <v>1</v>
      </c>
      <c r="M338" s="103">
        <f t="shared" si="146"/>
        <v>8.2859349064117506E-10</v>
      </c>
      <c r="N338" s="101">
        <f t="shared" si="147"/>
        <v>1</v>
      </c>
      <c r="O338" s="104">
        <f t="shared" si="148"/>
        <v>1.3257495850258801E-10</v>
      </c>
      <c r="P338" s="105">
        <f t="shared" ca="1" si="149"/>
        <v>1.7212971337777681</v>
      </c>
      <c r="Q338" s="106">
        <f t="shared" ca="1" si="150"/>
        <v>0.99524079732340398</v>
      </c>
      <c r="R338" s="107">
        <f t="shared" ca="1" si="151"/>
        <v>-21.596224860197445</v>
      </c>
      <c r="S338" s="108">
        <f t="shared" ca="1" si="152"/>
        <v>-82.467825907939243</v>
      </c>
      <c r="T338" s="116">
        <f t="shared" ca="1" si="153"/>
        <v>97.532174092060757</v>
      </c>
      <c r="V338" s="72">
        <f t="shared" ca="1" si="154"/>
        <v>25119</v>
      </c>
      <c r="W338" s="72">
        <f t="shared" si="155"/>
        <v>630964161</v>
      </c>
      <c r="Y338" s="110">
        <f t="shared" si="156"/>
        <v>6.7325324926457384</v>
      </c>
      <c r="Z338" s="111">
        <f t="shared" si="157"/>
        <v>-23.773276248342889</v>
      </c>
      <c r="AA338" s="72">
        <f t="shared" si="158"/>
        <v>156.22672375165712</v>
      </c>
      <c r="AB338" s="110">
        <f t="shared" ca="1" si="159"/>
        <v>-12.411157005961682</v>
      </c>
      <c r="AC338" s="111">
        <f t="shared" ca="1" si="160"/>
        <v>-58.694549659596369</v>
      </c>
      <c r="AD338" s="72">
        <f t="shared" ca="1" si="161"/>
        <v>121.30545034040364</v>
      </c>
    </row>
    <row r="339" spans="1:30">
      <c r="A339" s="118">
        <v>25265.25</v>
      </c>
      <c r="B339" s="101">
        <f t="shared" ca="1" si="135"/>
        <v>1295.6215177620297</v>
      </c>
      <c r="C339" s="102">
        <f t="shared" ca="1" si="136"/>
        <v>1.5700244963756131</v>
      </c>
      <c r="D339" s="102">
        <f t="shared" si="137"/>
        <v>33.589720131621128</v>
      </c>
      <c r="E339" s="103">
        <f t="shared" si="138"/>
        <v>1.5410209141418856</v>
      </c>
      <c r="F339" s="101">
        <f t="shared" si="139"/>
        <v>1904.9552312832782</v>
      </c>
      <c r="G339" s="104">
        <f t="shared" si="140"/>
        <v>1.5702713800510015</v>
      </c>
      <c r="H339" s="113">
        <f t="shared" si="141"/>
        <v>2.5826504775840045</v>
      </c>
      <c r="I339" s="114">
        <f t="shared" si="142"/>
        <v>1.1732045193555585</v>
      </c>
      <c r="J339" s="101">
        <f t="shared" si="143"/>
        <v>1.0001259939180855</v>
      </c>
      <c r="K339" s="104">
        <f t="shared" si="144"/>
        <v>1.587329145355942E-2</v>
      </c>
      <c r="L339" s="102">
        <f t="shared" si="145"/>
        <v>1</v>
      </c>
      <c r="M339" s="103">
        <f t="shared" si="146"/>
        <v>8.334177988543313E-10</v>
      </c>
      <c r="N339" s="101">
        <f t="shared" si="147"/>
        <v>1</v>
      </c>
      <c r="O339" s="104">
        <f t="shared" si="148"/>
        <v>1.33346847816693E-10</v>
      </c>
      <c r="P339" s="105">
        <f t="shared" ca="1" si="149"/>
        <v>1.7279566277838434</v>
      </c>
      <c r="Q339" s="106">
        <f t="shared" ca="1" si="150"/>
        <v>0.99824679815187178</v>
      </c>
      <c r="R339" s="107">
        <f t="shared" ca="1" si="151"/>
        <v>-21.637419531754425</v>
      </c>
      <c r="S339" s="108">
        <f t="shared" ca="1" si="152"/>
        <v>-82.516839263109262</v>
      </c>
      <c r="T339" s="116">
        <f t="shared" ca="1" si="153"/>
        <v>97.483160736890738</v>
      </c>
      <c r="V339" s="72">
        <f t="shared" ca="1" si="154"/>
        <v>25265.25</v>
      </c>
      <c r="W339" s="72">
        <f t="shared" si="155"/>
        <v>638332857.5625</v>
      </c>
      <c r="Y339" s="110">
        <f t="shared" si="156"/>
        <v>6.7249225790073766</v>
      </c>
      <c r="Z339" s="111">
        <f t="shared" si="157"/>
        <v>-23.659727896551978</v>
      </c>
      <c r="AA339" s="72">
        <f t="shared" si="158"/>
        <v>156.34027210344803</v>
      </c>
      <c r="AB339" s="110">
        <f t="shared" ca="1" si="159"/>
        <v>-12.444741763880298</v>
      </c>
      <c r="AC339" s="111">
        <f t="shared" ca="1" si="160"/>
        <v>-58.857111366557291</v>
      </c>
      <c r="AD339" s="72">
        <f t="shared" ca="1" si="161"/>
        <v>121.14288863344271</v>
      </c>
    </row>
    <row r="340" spans="1:30">
      <c r="A340" s="118">
        <v>25411.5</v>
      </c>
      <c r="B340" s="101">
        <f t="shared" ca="1" si="135"/>
        <v>1303.1213261714986</v>
      </c>
      <c r="C340" s="102">
        <f t="shared" ca="1" si="136"/>
        <v>1.5700289384649968</v>
      </c>
      <c r="D340" s="102">
        <f t="shared" si="137"/>
        <v>33.783985182502633</v>
      </c>
      <c r="E340" s="103">
        <f t="shared" si="138"/>
        <v>1.5411921792342789</v>
      </c>
      <c r="F340" s="101">
        <f t="shared" si="139"/>
        <v>1915.9822199741736</v>
      </c>
      <c r="G340" s="104">
        <f t="shared" si="140"/>
        <v>1.5702744012597971</v>
      </c>
      <c r="H340" s="113">
        <f t="shared" si="141"/>
        <v>2.5953645177680373</v>
      </c>
      <c r="I340" s="114">
        <f t="shared" si="142"/>
        <v>1.175260899064249</v>
      </c>
      <c r="J340" s="101">
        <f t="shared" si="143"/>
        <v>1.0001274566991747</v>
      </c>
      <c r="K340" s="104">
        <f t="shared" si="144"/>
        <v>1.5965159753148647E-2</v>
      </c>
      <c r="L340" s="102">
        <f t="shared" si="145"/>
        <v>1</v>
      </c>
      <c r="M340" s="103">
        <f t="shared" si="146"/>
        <v>8.3824210706748755E-10</v>
      </c>
      <c r="N340" s="101">
        <f t="shared" si="147"/>
        <v>1</v>
      </c>
      <c r="O340" s="104">
        <f t="shared" si="148"/>
        <v>1.34118737130798E-10</v>
      </c>
      <c r="P340" s="105">
        <f t="shared" ca="1" si="149"/>
        <v>1.7346293088270761</v>
      </c>
      <c r="Q340" s="106">
        <f t="shared" ca="1" si="150"/>
        <v>1.0012317679537086</v>
      </c>
      <c r="R340" s="107">
        <f t="shared" ca="1" si="151"/>
        <v>-21.678432698821858</v>
      </c>
      <c r="S340" s="108">
        <f t="shared" ca="1" si="152"/>
        <v>-82.5659220705205</v>
      </c>
      <c r="T340" s="116">
        <f t="shared" ca="1" si="153"/>
        <v>97.4340779294795</v>
      </c>
      <c r="V340" s="72">
        <f t="shared" ca="1" si="154"/>
        <v>25411.5</v>
      </c>
      <c r="W340" s="72">
        <f t="shared" si="155"/>
        <v>645744332.25</v>
      </c>
      <c r="Y340" s="110">
        <f t="shared" si="156"/>
        <v>6.7174304159847367</v>
      </c>
      <c r="Z340" s="111">
        <f t="shared" si="157"/>
        <v>-23.547342786157589</v>
      </c>
      <c r="AA340" s="72">
        <f t="shared" si="158"/>
        <v>156.4526572138424</v>
      </c>
      <c r="AB340" s="110">
        <f t="shared" ca="1" si="159"/>
        <v>-12.478262767925091</v>
      </c>
      <c r="AC340" s="111">
        <f t="shared" ca="1" si="160"/>
        <v>-59.0185792843629</v>
      </c>
      <c r="AD340" s="72">
        <f t="shared" ca="1" si="161"/>
        <v>120.9814207156371</v>
      </c>
    </row>
    <row r="341" spans="1:30">
      <c r="A341" s="118">
        <v>25557.75</v>
      </c>
      <c r="B341" s="101">
        <f t="shared" ca="1" si="135"/>
        <v>1310.6211346063869</v>
      </c>
      <c r="C341" s="102">
        <f t="shared" ca="1" si="136"/>
        <v>1.5700333297161659</v>
      </c>
      <c r="D341" s="102">
        <f t="shared" si="137"/>
        <v>33.978251212995808</v>
      </c>
      <c r="E341" s="103">
        <f t="shared" si="138"/>
        <v>1.5413614859618414</v>
      </c>
      <c r="F341" s="101">
        <f t="shared" si="139"/>
        <v>1927.0092086823577</v>
      </c>
      <c r="G341" s="104">
        <f t="shared" si="140"/>
        <v>1.5702773878918663</v>
      </c>
      <c r="H341" s="113">
        <f t="shared" si="141"/>
        <v>2.6080894259335841</v>
      </c>
      <c r="I341" s="114">
        <f t="shared" si="142"/>
        <v>1.177297221098023</v>
      </c>
      <c r="J341" s="101">
        <f t="shared" si="143"/>
        <v>1.0001289279210992</v>
      </c>
      <c r="K341" s="104">
        <f t="shared" si="144"/>
        <v>1.6057027783230756E-2</v>
      </c>
      <c r="L341" s="102">
        <f t="shared" si="145"/>
        <v>1</v>
      </c>
      <c r="M341" s="103">
        <f t="shared" si="146"/>
        <v>8.4306641528064379E-10</v>
      </c>
      <c r="N341" s="101">
        <f t="shared" si="147"/>
        <v>1</v>
      </c>
      <c r="O341" s="104">
        <f t="shared" si="148"/>
        <v>1.3489062644490302E-10</v>
      </c>
      <c r="P341" s="105">
        <f t="shared" ca="1" si="149"/>
        <v>1.7413150307723939</v>
      </c>
      <c r="Q341" s="106">
        <f t="shared" ca="1" si="150"/>
        <v>1.0041959075032543</v>
      </c>
      <c r="R341" s="107">
        <f t="shared" ca="1" si="151"/>
        <v>-21.719266245206747</v>
      </c>
      <c r="S341" s="108">
        <f t="shared" ca="1" si="152"/>
        <v>-82.615067909191126</v>
      </c>
      <c r="T341" s="116">
        <f t="shared" ca="1" si="153"/>
        <v>97.384932090808874</v>
      </c>
      <c r="V341" s="72">
        <f t="shared" ca="1" si="154"/>
        <v>25557.75</v>
      </c>
      <c r="W341" s="72">
        <f t="shared" si="155"/>
        <v>653198585.0625</v>
      </c>
      <c r="Y341" s="110">
        <f t="shared" si="156"/>
        <v>6.7100536380627247</v>
      </c>
      <c r="Z341" s="111">
        <f t="shared" si="157"/>
        <v>-23.436104899341949</v>
      </c>
      <c r="AA341" s="72">
        <f t="shared" si="158"/>
        <v>156.56389510065804</v>
      </c>
      <c r="AB341" s="110">
        <f t="shared" ca="1" si="159"/>
        <v>-12.511719536387966</v>
      </c>
      <c r="AC341" s="111">
        <f t="shared" ca="1" si="160"/>
        <v>-59.178963009849198</v>
      </c>
      <c r="AD341" s="72">
        <f t="shared" ca="1" si="161"/>
        <v>120.8210369901508</v>
      </c>
    </row>
    <row r="342" spans="1:30">
      <c r="A342" s="118">
        <v>25704</v>
      </c>
      <c r="B342" s="101">
        <f t="shared" ca="1" si="135"/>
        <v>1318.1209430662602</v>
      </c>
      <c r="C342" s="102">
        <f t="shared" ca="1" si="136"/>
        <v>1.5700376709968935</v>
      </c>
      <c r="D342" s="102">
        <f t="shared" si="137"/>
        <v>34.172518206393796</v>
      </c>
      <c r="E342" s="103">
        <f t="shared" si="138"/>
        <v>1.5415288677140468</v>
      </c>
      <c r="F342" s="101">
        <f t="shared" si="139"/>
        <v>1938.0361974075347</v>
      </c>
      <c r="G342" s="104">
        <f t="shared" si="140"/>
        <v>1.5702803405374102</v>
      </c>
      <c r="H342" s="113">
        <f t="shared" si="141"/>
        <v>2.6208250437785141</v>
      </c>
      <c r="I342" s="114">
        <f t="shared" si="142"/>
        <v>1.1793137608495532</v>
      </c>
      <c r="J342" s="101">
        <f t="shared" si="143"/>
        <v>1.000130407583822</v>
      </c>
      <c r="K342" s="104">
        <f t="shared" si="144"/>
        <v>1.614889554225625E-2</v>
      </c>
      <c r="L342" s="102">
        <f t="shared" si="145"/>
        <v>1</v>
      </c>
      <c r="M342" s="103">
        <f t="shared" si="146"/>
        <v>8.4789072349380004E-10</v>
      </c>
      <c r="N342" s="101">
        <f t="shared" si="147"/>
        <v>1</v>
      </c>
      <c r="O342" s="104">
        <f t="shared" si="148"/>
        <v>1.3566251575900802E-10</v>
      </c>
      <c r="P342" s="105">
        <f t="shared" ca="1" si="149"/>
        <v>1.7480136494577894</v>
      </c>
      <c r="Q342" s="106">
        <f t="shared" ca="1" si="150"/>
        <v>1.0071394157315161</v>
      </c>
      <c r="R342" s="107">
        <f t="shared" ca="1" si="151"/>
        <v>-21.759922016323202</v>
      </c>
      <c r="S342" s="108">
        <f t="shared" ca="1" si="152"/>
        <v>-82.664270568561676</v>
      </c>
      <c r="T342" s="116">
        <f t="shared" ca="1" si="153"/>
        <v>97.335729431438324</v>
      </c>
      <c r="V342" s="72">
        <f t="shared" ca="1" si="154"/>
        <v>25704</v>
      </c>
      <c r="W342" s="72">
        <f t="shared" si="155"/>
        <v>660695616</v>
      </c>
      <c r="Y342" s="110">
        <f t="shared" si="156"/>
        <v>6.7027899373834483</v>
      </c>
      <c r="Z342" s="111">
        <f t="shared" si="157"/>
        <v>-23.325998490994468</v>
      </c>
      <c r="AA342" s="72">
        <f t="shared" si="158"/>
        <v>156.67400150900554</v>
      </c>
      <c r="AB342" s="110">
        <f t="shared" ca="1" si="159"/>
        <v>-12.545111606825149</v>
      </c>
      <c r="AC342" s="111">
        <f t="shared" ca="1" si="160"/>
        <v>-59.338272077567176</v>
      </c>
      <c r="AD342" s="72">
        <f t="shared" ca="1" si="161"/>
        <v>120.66172792243282</v>
      </c>
    </row>
    <row r="343" spans="1:30">
      <c r="A343" s="118">
        <v>25853.75</v>
      </c>
      <c r="B343" s="101">
        <f t="shared" ca="1" si="135"/>
        <v>1325.8002341472009</v>
      </c>
      <c r="C343" s="102">
        <f t="shared" ca="1" si="136"/>
        <v>1.5700420652786724</v>
      </c>
      <c r="D343" s="102">
        <f t="shared" si="137"/>
        <v>34.371435305113742</v>
      </c>
      <c r="E343" s="103">
        <f t="shared" si="138"/>
        <v>1.5416982946360644</v>
      </c>
      <c r="F343" s="101">
        <f t="shared" si="139"/>
        <v>1949.3270798972883</v>
      </c>
      <c r="G343" s="104">
        <f t="shared" si="140"/>
        <v>1.5702833292306737</v>
      </c>
      <c r="H343" s="113">
        <f t="shared" si="141"/>
        <v>2.6338763805762859</v>
      </c>
      <c r="I343" s="114">
        <f t="shared" si="142"/>
        <v>1.1813583443074533</v>
      </c>
      <c r="J343" s="101">
        <f t="shared" si="143"/>
        <v>1.0001319314034558</v>
      </c>
      <c r="K343" s="104">
        <f t="shared" si="144"/>
        <v>1.6242961563459377E-2</v>
      </c>
      <c r="L343" s="102">
        <f t="shared" si="145"/>
        <v>1</v>
      </c>
      <c r="M343" s="103">
        <f t="shared" si="146"/>
        <v>8.5283048523684386E-10</v>
      </c>
      <c r="N343" s="101">
        <f t="shared" si="147"/>
        <v>1</v>
      </c>
      <c r="O343" s="104">
        <f t="shared" si="148"/>
        <v>1.3645287763789502E-10</v>
      </c>
      <c r="P343" s="105">
        <f t="shared" ca="1" si="149"/>
        <v>1.754885791834236</v>
      </c>
      <c r="Q343" s="106">
        <f t="shared" ca="1" si="150"/>
        <v>1.0101321948917106</v>
      </c>
      <c r="R343" s="107">
        <f t="shared" ca="1" si="151"/>
        <v>-21.801368426563158</v>
      </c>
      <c r="S343" s="108">
        <f t="shared" ca="1" si="152"/>
        <v>-82.714703332028577</v>
      </c>
      <c r="T343" s="116">
        <f t="shared" ca="1" si="153"/>
        <v>97.285296667971423</v>
      </c>
      <c r="V343" s="72">
        <f t="shared" ca="1" si="154"/>
        <v>25853.75</v>
      </c>
      <c r="W343" s="72">
        <f t="shared" si="155"/>
        <v>668416389.0625</v>
      </c>
      <c r="Y343" s="110">
        <f t="shared" si="156"/>
        <v>6.695467221767645</v>
      </c>
      <c r="Z343" s="111">
        <f t="shared" si="157"/>
        <v>-23.214413313150057</v>
      </c>
      <c r="AA343" s="72">
        <f t="shared" si="158"/>
        <v>156.78558668684994</v>
      </c>
      <c r="AB343" s="110">
        <f t="shared" ca="1" si="159"/>
        <v>-12.579235301449302</v>
      </c>
      <c r="AC343" s="111">
        <f t="shared" ca="1" si="160"/>
        <v>-59.50029001887858</v>
      </c>
      <c r="AD343" s="72">
        <f t="shared" ca="1" si="161"/>
        <v>120.49970998112141</v>
      </c>
    </row>
    <row r="344" spans="1:30">
      <c r="A344" s="118">
        <v>26003.5</v>
      </c>
      <c r="B344" s="101">
        <f t="shared" ca="1" si="135"/>
        <v>1333.4795252534473</v>
      </c>
      <c r="C344" s="102">
        <f t="shared" ca="1" si="136"/>
        <v>1.5700464089485469</v>
      </c>
      <c r="D344" s="102">
        <f t="shared" si="137"/>
        <v>34.570353379127987</v>
      </c>
      <c r="E344" s="103">
        <f t="shared" si="138"/>
        <v>1.54186577179527</v>
      </c>
      <c r="F344" s="101">
        <f t="shared" si="139"/>
        <v>1960.6179624042529</v>
      </c>
      <c r="G344" s="104">
        <f t="shared" si="140"/>
        <v>1.5702862835011326</v>
      </c>
      <c r="H344" s="113">
        <f t="shared" si="141"/>
        <v>2.6469386192183775</v>
      </c>
      <c r="I344" s="114">
        <f t="shared" si="142"/>
        <v>1.1833827567431452</v>
      </c>
      <c r="J344" s="101">
        <f t="shared" si="143"/>
        <v>1.0001334640726465</v>
      </c>
      <c r="K344" s="104">
        <f t="shared" si="144"/>
        <v>1.6337027297189124E-2</v>
      </c>
      <c r="L344" s="102">
        <f t="shared" si="145"/>
        <v>1</v>
      </c>
      <c r="M344" s="103">
        <f t="shared" si="146"/>
        <v>8.5777024697988759E-10</v>
      </c>
      <c r="N344" s="101">
        <f t="shared" si="147"/>
        <v>1</v>
      </c>
      <c r="O344" s="104">
        <f t="shared" si="148"/>
        <v>1.3724323951678202E-10</v>
      </c>
      <c r="P344" s="105">
        <f t="shared" ca="1" si="149"/>
        <v>1.7617711559331517</v>
      </c>
      <c r="Q344" s="106">
        <f t="shared" ca="1" si="150"/>
        <v>1.0131037596526522</v>
      </c>
      <c r="R344" s="107">
        <f t="shared" ca="1" si="151"/>
        <v>-21.842632248432899</v>
      </c>
      <c r="S344" s="108">
        <f t="shared" ca="1" si="152"/>
        <v>-82.765183138973825</v>
      </c>
      <c r="T344" s="116">
        <f t="shared" ca="1" si="153"/>
        <v>97.234816861026175</v>
      </c>
      <c r="V344" s="72">
        <f t="shared" ca="1" si="154"/>
        <v>26003.5</v>
      </c>
      <c r="W344" s="72">
        <f t="shared" si="155"/>
        <v>676182012.25</v>
      </c>
      <c r="Y344" s="110">
        <f t="shared" si="156"/>
        <v>6.6882583414279217</v>
      </c>
      <c r="Z344" s="111">
        <f t="shared" si="157"/>
        <v>-23.10398186099555</v>
      </c>
      <c r="AA344" s="72">
        <f t="shared" si="158"/>
        <v>156.89601813900444</v>
      </c>
      <c r="AB344" s="110">
        <f t="shared" ca="1" si="159"/>
        <v>-12.613290242979318</v>
      </c>
      <c r="AC344" s="111">
        <f t="shared" ca="1" si="160"/>
        <v>-59.661201277978293</v>
      </c>
      <c r="AD344" s="72">
        <f t="shared" ca="1" si="161"/>
        <v>120.33879872202171</v>
      </c>
    </row>
    <row r="345" spans="1:30">
      <c r="A345" s="118">
        <v>26153.25</v>
      </c>
      <c r="B345" s="101">
        <f t="shared" ca="1" si="135"/>
        <v>1341.1588163845654</v>
      </c>
      <c r="C345" s="102">
        <f t="shared" ca="1" si="136"/>
        <v>1.5700507028759076</v>
      </c>
      <c r="D345" s="102">
        <f t="shared" si="137"/>
        <v>34.76927241169728</v>
      </c>
      <c r="E345" s="103">
        <f t="shared" si="138"/>
        <v>1.542031332646643</v>
      </c>
      <c r="F345" s="101">
        <f t="shared" si="139"/>
        <v>1971.9088449281332</v>
      </c>
      <c r="G345" s="104">
        <f t="shared" si="140"/>
        <v>1.570289203940088</v>
      </c>
      <c r="H345" s="113">
        <f t="shared" si="141"/>
        <v>2.6600115991011801</v>
      </c>
      <c r="I345" s="114">
        <f t="shared" si="142"/>
        <v>1.1853872788397781</v>
      </c>
      <c r="J345" s="101">
        <f t="shared" si="143"/>
        <v>1.0001350055913529</v>
      </c>
      <c r="K345" s="104">
        <f t="shared" si="144"/>
        <v>1.6431092741782172E-2</v>
      </c>
      <c r="L345" s="102">
        <f t="shared" si="145"/>
        <v>1</v>
      </c>
      <c r="M345" s="103">
        <f t="shared" si="146"/>
        <v>8.6271000872293132E-10</v>
      </c>
      <c r="N345" s="101">
        <f t="shared" si="147"/>
        <v>1</v>
      </c>
      <c r="O345" s="104">
        <f t="shared" si="148"/>
        <v>1.3803360139566902E-10</v>
      </c>
      <c r="P345" s="105">
        <f t="shared" ca="1" si="149"/>
        <v>1.7686695932471863</v>
      </c>
      <c r="Q345" s="106">
        <f t="shared" ca="1" si="150"/>
        <v>1.0160543175932824</v>
      </c>
      <c r="R345" s="107">
        <f t="shared" ca="1" si="151"/>
        <v>-21.883715345497663</v>
      </c>
      <c r="S345" s="108">
        <f t="shared" ca="1" si="152"/>
        <v>-82.815703967601635</v>
      </c>
      <c r="T345" s="116">
        <f t="shared" ca="1" si="153"/>
        <v>97.184296032398365</v>
      </c>
      <c r="V345" s="72">
        <f t="shared" ca="1" si="154"/>
        <v>26153.25</v>
      </c>
      <c r="W345" s="72">
        <f t="shared" si="155"/>
        <v>683992485.5625</v>
      </c>
      <c r="Y345" s="110">
        <f t="shared" si="156"/>
        <v>6.6811609961785168</v>
      </c>
      <c r="Z345" s="111">
        <f t="shared" si="157"/>
        <v>-22.994688086354802</v>
      </c>
      <c r="AA345" s="72">
        <f t="shared" si="158"/>
        <v>157.00531191364519</v>
      </c>
      <c r="AB345" s="110">
        <f t="shared" ca="1" si="159"/>
        <v>-12.647275994794674</v>
      </c>
      <c r="AC345" s="111">
        <f t="shared" ca="1" si="160"/>
        <v>-59.821015881246851</v>
      </c>
      <c r="AD345" s="72">
        <f t="shared" ca="1" si="161"/>
        <v>120.17898411875315</v>
      </c>
    </row>
    <row r="346" spans="1:30">
      <c r="A346" s="118">
        <v>26303</v>
      </c>
      <c r="B346" s="101">
        <f t="shared" ca="1" si="135"/>
        <v>1348.8381075401296</v>
      </c>
      <c r="C346" s="102">
        <f t="shared" ca="1" si="136"/>
        <v>1.5700549479103463</v>
      </c>
      <c r="D346" s="102">
        <f t="shared" si="137"/>
        <v>34.968192386463208</v>
      </c>
      <c r="E346" s="103">
        <f t="shared" si="138"/>
        <v>1.5421950098843415</v>
      </c>
      <c r="F346" s="101">
        <f t="shared" si="139"/>
        <v>1983.1997274686405</v>
      </c>
      <c r="G346" s="104">
        <f t="shared" si="140"/>
        <v>1.5702920911253748</v>
      </c>
      <c r="H346" s="113">
        <f t="shared" si="141"/>
        <v>2.673095162632078</v>
      </c>
      <c r="I346" s="114">
        <f t="shared" si="142"/>
        <v>1.1873721864314077</v>
      </c>
      <c r="J346" s="101">
        <f t="shared" si="143"/>
        <v>1.0001365559595348</v>
      </c>
      <c r="K346" s="104">
        <f t="shared" si="144"/>
        <v>1.652515789557521E-2</v>
      </c>
      <c r="L346" s="102">
        <f t="shared" si="145"/>
        <v>1</v>
      </c>
      <c r="M346" s="103">
        <f t="shared" si="146"/>
        <v>8.6764977046597504E-10</v>
      </c>
      <c r="N346" s="101">
        <f t="shared" si="147"/>
        <v>1</v>
      </c>
      <c r="O346" s="104">
        <f t="shared" si="148"/>
        <v>1.3882396327455602E-10</v>
      </c>
      <c r="P346" s="105">
        <f t="shared" ca="1" si="149"/>
        <v>1.7755809573199186</v>
      </c>
      <c r="Q346" s="106">
        <f t="shared" ca="1" si="150"/>
        <v>1.0189840742880933</v>
      </c>
      <c r="R346" s="107">
        <f t="shared" ca="1" si="151"/>
        <v>-21.924619544092501</v>
      </c>
      <c r="S346" s="108">
        <f t="shared" ca="1" si="152"/>
        <v>-82.866260000788628</v>
      </c>
      <c r="T346" s="116">
        <f t="shared" ca="1" si="153"/>
        <v>97.133739999211372</v>
      </c>
      <c r="V346" s="72">
        <f t="shared" ca="1" si="154"/>
        <v>26303</v>
      </c>
      <c r="W346" s="72">
        <f t="shared" si="155"/>
        <v>691847809</v>
      </c>
      <c r="Y346" s="110">
        <f t="shared" si="156"/>
        <v>6.6741729422719596</v>
      </c>
      <c r="Z346" s="111">
        <f t="shared" si="157"/>
        <v>-22.886516218112803</v>
      </c>
      <c r="AA346" s="72">
        <f t="shared" si="158"/>
        <v>157.1134837818872</v>
      </c>
      <c r="AB346" s="110">
        <f t="shared" ca="1" si="159"/>
        <v>-12.681192139482958</v>
      </c>
      <c r="AC346" s="111">
        <f t="shared" ca="1" si="160"/>
        <v>-59.979743782675847</v>
      </c>
      <c r="AD346" s="72">
        <f t="shared" ca="1" si="161"/>
        <v>120.02025621732415</v>
      </c>
    </row>
    <row r="347" spans="1:30">
      <c r="A347" s="118">
        <v>26456</v>
      </c>
      <c r="B347" s="101">
        <f t="shared" ca="1" si="135"/>
        <v>1356.6840611329017</v>
      </c>
      <c r="C347" s="102">
        <f t="shared" ca="1" si="136"/>
        <v>1.5700592354416485</v>
      </c>
      <c r="D347" s="102">
        <f t="shared" si="137"/>
        <v>35.171430445690035</v>
      </c>
      <c r="E347" s="103">
        <f t="shared" si="138"/>
        <v>1.542360327243002</v>
      </c>
      <c r="F347" s="101">
        <f t="shared" si="139"/>
        <v>1994.7356542213961</v>
      </c>
      <c r="G347" s="104">
        <f t="shared" si="140"/>
        <v>1.5702950072141439</v>
      </c>
      <c r="H347" s="113">
        <f t="shared" si="141"/>
        <v>2.6864734464483302</v>
      </c>
      <c r="I347" s="114">
        <f t="shared" si="142"/>
        <v>1.1893801964592676</v>
      </c>
      <c r="J347" s="101">
        <f t="shared" si="143"/>
        <v>1.0001381491147103</v>
      </c>
      <c r="K347" s="104">
        <f t="shared" si="144"/>
        <v>1.6621264228102929E-2</v>
      </c>
      <c r="L347" s="102">
        <f t="shared" si="145"/>
        <v>1</v>
      </c>
      <c r="M347" s="103">
        <f t="shared" si="146"/>
        <v>8.7269673905820012E-10</v>
      </c>
      <c r="N347" s="101">
        <f t="shared" si="147"/>
        <v>1</v>
      </c>
      <c r="O347" s="104">
        <f t="shared" si="148"/>
        <v>1.39631478249312E-10</v>
      </c>
      <c r="P347" s="105">
        <f t="shared" ca="1" si="149"/>
        <v>1.7826555179936496</v>
      </c>
      <c r="Q347" s="106">
        <f t="shared" ca="1" si="150"/>
        <v>1.0219561434665021</v>
      </c>
      <c r="R347" s="107">
        <f t="shared" ca="1" si="151"/>
        <v>-21.966228577503287</v>
      </c>
      <c r="S347" s="108">
        <f t="shared" ca="1" si="152"/>
        <v>-82.917943758466393</v>
      </c>
      <c r="T347" s="116">
        <f t="shared" ca="1" si="153"/>
        <v>97.082056241533607</v>
      </c>
      <c r="V347" s="72">
        <f t="shared" ca="1" si="154"/>
        <v>26456</v>
      </c>
      <c r="W347" s="72">
        <f t="shared" si="155"/>
        <v>699919936</v>
      </c>
      <c r="Y347" s="110">
        <f t="shared" si="156"/>
        <v>6.6671438259919231</v>
      </c>
      <c r="Z347" s="111">
        <f t="shared" si="157"/>
        <v>-22.777139284746063</v>
      </c>
      <c r="AA347" s="72">
        <f t="shared" si="158"/>
        <v>157.22286071525394</v>
      </c>
      <c r="AB347" s="110">
        <f t="shared" ca="1" si="159"/>
        <v>-12.715772056613705</v>
      </c>
      <c r="AC347" s="111">
        <f t="shared" ca="1" si="160"/>
        <v>-60.140804473720273</v>
      </c>
      <c r="AD347" s="72">
        <f t="shared" ca="1" si="161"/>
        <v>119.85919552627973</v>
      </c>
    </row>
    <row r="348" spans="1:30">
      <c r="A348" s="118">
        <v>26609</v>
      </c>
      <c r="B348" s="101">
        <f t="shared" ca="1" si="135"/>
        <v>1364.5300147503262</v>
      </c>
      <c r="C348" s="102">
        <f t="shared" ca="1" si="136"/>
        <v>1.5700634736669314</v>
      </c>
      <c r="D348" s="102">
        <f t="shared" si="137"/>
        <v>35.374669455100936</v>
      </c>
      <c r="E348" s="103">
        <f t="shared" si="138"/>
        <v>1.5425237450018365</v>
      </c>
      <c r="F348" s="101">
        <f t="shared" si="139"/>
        <v>2006.2715809909189</v>
      </c>
      <c r="G348" s="104">
        <f t="shared" si="140"/>
        <v>1.570297889768284</v>
      </c>
      <c r="H348" s="113">
        <f t="shared" si="141"/>
        <v>2.6998624550300589</v>
      </c>
      <c r="I348" s="114">
        <f t="shared" si="142"/>
        <v>1.191368298412691</v>
      </c>
      <c r="J348" s="101">
        <f t="shared" si="143"/>
        <v>1.0001397515075598</v>
      </c>
      <c r="K348" s="104">
        <f t="shared" si="144"/>
        <v>1.6717370253561164E-2</v>
      </c>
      <c r="L348" s="102">
        <f t="shared" si="145"/>
        <v>1</v>
      </c>
      <c r="M348" s="103">
        <f t="shared" si="146"/>
        <v>8.777437076504251E-10</v>
      </c>
      <c r="N348" s="101">
        <f t="shared" si="147"/>
        <v>1</v>
      </c>
      <c r="O348" s="104">
        <f t="shared" si="148"/>
        <v>1.4043899322406802E-10</v>
      </c>
      <c r="P348" s="105">
        <f t="shared" ca="1" si="149"/>
        <v>1.7897432699498794</v>
      </c>
      <c r="Q348" s="106">
        <f t="shared" ca="1" si="150"/>
        <v>1.0249069261879289</v>
      </c>
      <c r="R348" s="107">
        <f t="shared" ca="1" si="151"/>
        <v>-22.007654603282475</v>
      </c>
      <c r="S348" s="108">
        <f t="shared" ca="1" si="152"/>
        <v>-82.969652615681127</v>
      </c>
      <c r="T348" s="116">
        <f t="shared" ca="1" si="153"/>
        <v>97.030347384318873</v>
      </c>
      <c r="V348" s="72">
        <f t="shared" ca="1" si="154"/>
        <v>26609</v>
      </c>
      <c r="W348" s="72">
        <f t="shared" si="155"/>
        <v>708038881</v>
      </c>
      <c r="Y348" s="110">
        <f t="shared" si="156"/>
        <v>6.6602242344765683</v>
      </c>
      <c r="Z348" s="111">
        <f t="shared" si="157"/>
        <v>-22.668901061037598</v>
      </c>
      <c r="AA348" s="72">
        <f t="shared" si="158"/>
        <v>157.33109893896241</v>
      </c>
      <c r="AB348" s="110">
        <f t="shared" ca="1" si="159"/>
        <v>-12.750278490877541</v>
      </c>
      <c r="AC348" s="111">
        <f t="shared" ca="1" si="160"/>
        <v>-60.300751554643554</v>
      </c>
      <c r="AD348" s="72">
        <f t="shared" ca="1" si="161"/>
        <v>119.69924844535645</v>
      </c>
    </row>
    <row r="349" spans="1:30">
      <c r="A349" s="118">
        <v>26762</v>
      </c>
      <c r="B349" s="101">
        <f t="shared" ca="1" si="135"/>
        <v>1372.3759683919814</v>
      </c>
      <c r="C349" s="102">
        <f t="shared" ca="1" si="136"/>
        <v>1.5700676634318509</v>
      </c>
      <c r="D349" s="102">
        <f t="shared" si="137"/>
        <v>35.57790939841211</v>
      </c>
      <c r="E349" s="103">
        <f t="shared" si="138"/>
        <v>1.5426852957066148</v>
      </c>
      <c r="F349" s="101">
        <f t="shared" si="139"/>
        <v>2017.8075077769215</v>
      </c>
      <c r="G349" s="104">
        <f t="shared" si="140"/>
        <v>1.5703007393629536</v>
      </c>
      <c r="H349" s="113">
        <f t="shared" si="141"/>
        <v>2.7132620296082579</v>
      </c>
      <c r="I349" s="114">
        <f t="shared" si="142"/>
        <v>1.1933367714091385</v>
      </c>
      <c r="J349" s="101">
        <f t="shared" si="143"/>
        <v>1.0001413631380387</v>
      </c>
      <c r="K349" s="104">
        <f t="shared" si="144"/>
        <v>1.6813475970176048E-2</v>
      </c>
      <c r="L349" s="102">
        <f t="shared" si="145"/>
        <v>1</v>
      </c>
      <c r="M349" s="103">
        <f t="shared" si="146"/>
        <v>8.8279067624265008E-10</v>
      </c>
      <c r="N349" s="101">
        <f t="shared" si="147"/>
        <v>1</v>
      </c>
      <c r="O349" s="104">
        <f t="shared" si="148"/>
        <v>1.4124650819882401E-10</v>
      </c>
      <c r="P349" s="105">
        <f t="shared" ca="1" si="149"/>
        <v>1.7968440634336982</v>
      </c>
      <c r="Q349" s="106">
        <f t="shared" ca="1" si="150"/>
        <v>1.0278366352704456</v>
      </c>
      <c r="R349" s="107">
        <f t="shared" ca="1" si="151"/>
        <v>-22.048899456128915</v>
      </c>
      <c r="S349" s="108">
        <f t="shared" ca="1" si="152"/>
        <v>-83.021380990327657</v>
      </c>
      <c r="T349" s="116">
        <f t="shared" ca="1" si="153"/>
        <v>96.978619009672343</v>
      </c>
      <c r="V349" s="72">
        <f t="shared" ca="1" si="154"/>
        <v>26762</v>
      </c>
      <c r="W349" s="72">
        <f t="shared" si="155"/>
        <v>716204644</v>
      </c>
      <c r="Y349" s="110">
        <f t="shared" si="156"/>
        <v>6.6534119469225033</v>
      </c>
      <c r="Z349" s="111">
        <f t="shared" si="157"/>
        <v>-22.561785587587384</v>
      </c>
      <c r="AA349" s="72">
        <f t="shared" si="158"/>
        <v>157.43821441241261</v>
      </c>
      <c r="AB349" s="110">
        <f t="shared" ca="1" si="159"/>
        <v>-12.784711056169913</v>
      </c>
      <c r="AC349" s="111">
        <f t="shared" ca="1" si="160"/>
        <v>-60.459595402740284</v>
      </c>
      <c r="AD349" s="72">
        <f t="shared" ca="1" si="161"/>
        <v>119.54040459725971</v>
      </c>
    </row>
    <row r="350" spans="1:30">
      <c r="A350" s="118">
        <v>26915</v>
      </c>
      <c r="B350" s="101">
        <f t="shared" ca="1" si="135"/>
        <v>1380.2219220574532</v>
      </c>
      <c r="C350" s="102">
        <f t="shared" ca="1" si="136"/>
        <v>1.5700718055628342</v>
      </c>
      <c r="D350" s="102">
        <f t="shared" si="137"/>
        <v>35.781150259709662</v>
      </c>
      <c r="E350" s="103">
        <f t="shared" si="138"/>
        <v>1.5428450111640479</v>
      </c>
      <c r="F350" s="101">
        <f t="shared" si="139"/>
        <v>2029.3434345791227</v>
      </c>
      <c r="G350" s="104">
        <f t="shared" si="140"/>
        <v>1.570303556560233</v>
      </c>
      <c r="H350" s="113">
        <f t="shared" si="141"/>
        <v>2.7266720144107763</v>
      </c>
      <c r="I350" s="114">
        <f t="shared" si="142"/>
        <v>1.1952858896901781</v>
      </c>
      <c r="J350" s="101">
        <f t="shared" si="143"/>
        <v>1.0001429840061018</v>
      </c>
      <c r="K350" s="104">
        <f t="shared" si="144"/>
        <v>1.6909581376173752E-2</v>
      </c>
      <c r="L350" s="102">
        <f t="shared" si="145"/>
        <v>1</v>
      </c>
      <c r="M350" s="103">
        <f t="shared" si="146"/>
        <v>8.8783764483487506E-10</v>
      </c>
      <c r="N350" s="101">
        <f t="shared" si="147"/>
        <v>1</v>
      </c>
      <c r="O350" s="104">
        <f t="shared" si="148"/>
        <v>1.4205402317358002E-10</v>
      </c>
      <c r="P350" s="105">
        <f t="shared" ca="1" si="149"/>
        <v>1.8039577507995028</v>
      </c>
      <c r="Q350" s="106">
        <f t="shared" ca="1" si="150"/>
        <v>1.030745481383349</v>
      </c>
      <c r="R350" s="107">
        <f t="shared" ca="1" si="151"/>
        <v>-22.089964934926535</v>
      </c>
      <c r="S350" s="108">
        <f t="shared" ca="1" si="152"/>
        <v>-83.073123497046794</v>
      </c>
      <c r="T350" s="116">
        <f t="shared" ca="1" si="153"/>
        <v>96.926876502953206</v>
      </c>
      <c r="V350" s="72">
        <f t="shared" ca="1" si="154"/>
        <v>26915</v>
      </c>
      <c r="W350" s="72">
        <f t="shared" si="155"/>
        <v>724417225</v>
      </c>
      <c r="Y350" s="110">
        <f t="shared" si="156"/>
        <v>6.646704797251112</v>
      </c>
      <c r="Z350" s="111">
        <f t="shared" si="157"/>
        <v>-22.455777183614202</v>
      </c>
      <c r="AA350" s="72">
        <f t="shared" si="158"/>
        <v>157.5442228163858</v>
      </c>
      <c r="AB350" s="110">
        <f t="shared" ca="1" si="159"/>
        <v>-12.819069385296141</v>
      </c>
      <c r="AC350" s="111">
        <f t="shared" ca="1" si="160"/>
        <v>-60.61734631343257</v>
      </c>
      <c r="AD350" s="72">
        <f t="shared" ca="1" si="161"/>
        <v>119.38265368656744</v>
      </c>
    </row>
    <row r="351" spans="1:30">
      <c r="A351" s="118">
        <v>27071.75</v>
      </c>
      <c r="B351" s="101">
        <f t="shared" ca="1" si="135"/>
        <v>1388.2601785331212</v>
      </c>
      <c r="C351" s="102">
        <f t="shared" ca="1" si="136"/>
        <v>1.5700760006615526</v>
      </c>
      <c r="D351" s="102">
        <f t="shared" si="137"/>
        <v>35.989373450417574</v>
      </c>
      <c r="E351" s="103">
        <f t="shared" si="138"/>
        <v>1.5430067704448198</v>
      </c>
      <c r="F351" s="101">
        <f t="shared" si="139"/>
        <v>2041.1621047018114</v>
      </c>
      <c r="G351" s="104">
        <f t="shared" si="140"/>
        <v>1.5703064097825732</v>
      </c>
      <c r="H351" s="113">
        <f t="shared" si="141"/>
        <v>2.7404213116071245</v>
      </c>
      <c r="I351" s="114">
        <f t="shared" si="142"/>
        <v>1.1972629900828875</v>
      </c>
      <c r="J351" s="101">
        <f t="shared" si="143"/>
        <v>1.0001446541812531</v>
      </c>
      <c r="K351" s="104">
        <f t="shared" si="144"/>
        <v>1.7008041982843471E-2</v>
      </c>
      <c r="L351" s="102">
        <f t="shared" si="145"/>
        <v>1</v>
      </c>
      <c r="M351" s="103">
        <f t="shared" si="146"/>
        <v>8.9300831363769385E-10</v>
      </c>
      <c r="N351" s="101">
        <f t="shared" si="147"/>
        <v>1</v>
      </c>
      <c r="O351" s="104">
        <f t="shared" si="148"/>
        <v>1.42881330182031E-10</v>
      </c>
      <c r="P351" s="105">
        <f t="shared" ca="1" si="149"/>
        <v>1.8112590128597172</v>
      </c>
      <c r="Q351" s="106">
        <f t="shared" ca="1" si="150"/>
        <v>1.0337042045004405</v>
      </c>
      <c r="R351" s="107">
        <f t="shared" ca="1" si="151"/>
        <v>-22.131852742275168</v>
      </c>
      <c r="S351" s="108">
        <f t="shared" ca="1" si="152"/>
        <v>-83.12614342821422</v>
      </c>
      <c r="T351" s="116">
        <f t="shared" ca="1" si="153"/>
        <v>96.87385657178578</v>
      </c>
      <c r="V351" s="72">
        <f t="shared" ca="1" si="154"/>
        <v>27071.75</v>
      </c>
      <c r="W351" s="72">
        <f t="shared" si="155"/>
        <v>732879648.0625</v>
      </c>
      <c r="Y351" s="110">
        <f t="shared" si="156"/>
        <v>6.6399400826681712</v>
      </c>
      <c r="Z351" s="111">
        <f t="shared" si="157"/>
        <v>-22.348302529875216</v>
      </c>
      <c r="AA351" s="72">
        <f t="shared" si="158"/>
        <v>157.65169747012479</v>
      </c>
      <c r="AB351" s="110">
        <f t="shared" ca="1" si="159"/>
        <v>-12.854192478061835</v>
      </c>
      <c r="AC351" s="111">
        <f t="shared" ca="1" si="160"/>
        <v>-60.777840898338994</v>
      </c>
      <c r="AD351" s="72">
        <f t="shared" ca="1" si="161"/>
        <v>119.22215910166101</v>
      </c>
    </row>
    <row r="352" spans="1:30">
      <c r="A352" s="118">
        <v>27228.5</v>
      </c>
      <c r="B352" s="101">
        <f t="shared" ca="1" si="135"/>
        <v>1396.2984350329398</v>
      </c>
      <c r="C352" s="102">
        <f t="shared" ca="1" si="136"/>
        <v>1.5700801474593078</v>
      </c>
      <c r="D352" s="102">
        <f t="shared" si="137"/>
        <v>36.197597571991658</v>
      </c>
      <c r="E352" s="103">
        <f t="shared" si="138"/>
        <v>1.5431666687120769</v>
      </c>
      <c r="F352" s="101">
        <f t="shared" si="139"/>
        <v>2052.9807748409257</v>
      </c>
      <c r="G352" s="104">
        <f t="shared" si="140"/>
        <v>1.570309230153857</v>
      </c>
      <c r="H352" s="113">
        <f t="shared" si="141"/>
        <v>2.7541812139302531</v>
      </c>
      <c r="I352" s="114">
        <f t="shared" si="142"/>
        <v>1.1992203428574277</v>
      </c>
      <c r="J352" s="101">
        <f t="shared" si="143"/>
        <v>1.0001463340522652</v>
      </c>
      <c r="K352" s="104">
        <f t="shared" si="144"/>
        <v>1.7106502259713878E-2</v>
      </c>
      <c r="L352" s="102">
        <f t="shared" si="145"/>
        <v>1</v>
      </c>
      <c r="M352" s="103">
        <f t="shared" si="146"/>
        <v>8.9817898244051254E-10</v>
      </c>
      <c r="N352" s="101">
        <f t="shared" si="147"/>
        <v>1</v>
      </c>
      <c r="O352" s="104">
        <f t="shared" si="148"/>
        <v>1.4370863719048201E-10</v>
      </c>
      <c r="P352" s="105">
        <f t="shared" ca="1" si="149"/>
        <v>1.8185735015134543</v>
      </c>
      <c r="Q352" s="106">
        <f t="shared" ca="1" si="150"/>
        <v>1.0366414702169873</v>
      </c>
      <c r="R352" s="107">
        <f t="shared" ca="1" si="151"/>
        <v>-22.173555986965315</v>
      </c>
      <c r="S352" s="108">
        <f t="shared" ca="1" si="152"/>
        <v>-83.179167355723379</v>
      </c>
      <c r="T352" s="116">
        <f t="shared" ca="1" si="153"/>
        <v>96.820832644276621</v>
      </c>
      <c r="V352" s="72">
        <f t="shared" ca="1" si="154"/>
        <v>27228.5</v>
      </c>
      <c r="W352" s="72">
        <f t="shared" si="155"/>
        <v>741391212.25</v>
      </c>
      <c r="Y352" s="110">
        <f t="shared" si="156"/>
        <v>6.6332812894442261</v>
      </c>
      <c r="Z352" s="111">
        <f t="shared" si="157"/>
        <v>-22.241957430191047</v>
      </c>
      <c r="AA352" s="72">
        <f t="shared" si="158"/>
        <v>157.75804256980896</v>
      </c>
      <c r="AB352" s="110">
        <f t="shared" ca="1" si="159"/>
        <v>-12.889236929528035</v>
      </c>
      <c r="AC352" s="111">
        <f t="shared" ca="1" si="160"/>
        <v>-60.937209925532294</v>
      </c>
      <c r="AD352" s="72">
        <f t="shared" ca="1" si="161"/>
        <v>119.0627900744677</v>
      </c>
    </row>
    <row r="353" spans="1:30">
      <c r="A353" s="118">
        <v>27385.25</v>
      </c>
      <c r="B353" s="101">
        <f t="shared" ca="1" si="135"/>
        <v>1404.3366915564941</v>
      </c>
      <c r="C353" s="102">
        <f t="shared" ca="1" si="136"/>
        <v>1.570084246785507</v>
      </c>
      <c r="D353" s="102">
        <f t="shared" si="137"/>
        <v>36.405822608459601</v>
      </c>
      <c r="E353" s="103">
        <f t="shared" si="138"/>
        <v>1.5433247378900683</v>
      </c>
      <c r="F353" s="101">
        <f t="shared" si="139"/>
        <v>2064.7994449961834</v>
      </c>
      <c r="G353" s="104">
        <f t="shared" si="140"/>
        <v>1.5703120182381911</v>
      </c>
      <c r="H353" s="113">
        <f t="shared" si="141"/>
        <v>2.76795156322114</v>
      </c>
      <c r="I353" s="114">
        <f t="shared" si="142"/>
        <v>1.2011582276315553</v>
      </c>
      <c r="J353" s="101">
        <f t="shared" si="143"/>
        <v>1.0001480236190894</v>
      </c>
      <c r="K353" s="104">
        <f t="shared" si="144"/>
        <v>1.7204962204877598E-2</v>
      </c>
      <c r="L353" s="102">
        <f t="shared" si="145"/>
        <v>1</v>
      </c>
      <c r="M353" s="103">
        <f t="shared" si="146"/>
        <v>9.0334965124333133E-10</v>
      </c>
      <c r="N353" s="101">
        <f t="shared" si="147"/>
        <v>1</v>
      </c>
      <c r="O353" s="104">
        <f t="shared" si="148"/>
        <v>1.4453594419893302E-10</v>
      </c>
      <c r="P353" s="105">
        <f t="shared" ca="1" si="149"/>
        <v>1.8259010646773053</v>
      </c>
      <c r="Q353" s="106">
        <f t="shared" ca="1" si="150"/>
        <v>1.0395574981298792</v>
      </c>
      <c r="R353" s="107">
        <f t="shared" ca="1" si="151"/>
        <v>-22.215076493475973</v>
      </c>
      <c r="S353" s="108">
        <f t="shared" ca="1" si="152"/>
        <v>-83.232190091240227</v>
      </c>
      <c r="T353" s="116">
        <f t="shared" ca="1" si="153"/>
        <v>96.767809908759773</v>
      </c>
      <c r="V353" s="72">
        <f t="shared" ca="1" si="154"/>
        <v>27385.25</v>
      </c>
      <c r="W353" s="72">
        <f t="shared" si="155"/>
        <v>749951917.5625</v>
      </c>
      <c r="Y353" s="110">
        <f t="shared" si="156"/>
        <v>6.6267262568423222</v>
      </c>
      <c r="Z353" s="111">
        <f t="shared" si="157"/>
        <v>-22.136725895856017</v>
      </c>
      <c r="AA353" s="72">
        <f t="shared" si="158"/>
        <v>157.86327410414398</v>
      </c>
      <c r="AB353" s="110">
        <f t="shared" ca="1" si="159"/>
        <v>-12.924202403436789</v>
      </c>
      <c r="AC353" s="111">
        <f t="shared" ca="1" si="160"/>
        <v>-61.09546419538421</v>
      </c>
      <c r="AD353" s="72">
        <f t="shared" ca="1" si="161"/>
        <v>118.90453580461579</v>
      </c>
    </row>
    <row r="354" spans="1:30">
      <c r="A354" s="118">
        <v>27542</v>
      </c>
      <c r="B354" s="101">
        <f t="shared" ca="1" si="135"/>
        <v>1412.3749481033788</v>
      </c>
      <c r="C354" s="102">
        <f t="shared" ca="1" si="136"/>
        <v>1.5700882994506753</v>
      </c>
      <c r="D354" s="102">
        <f t="shared" si="137"/>
        <v>36.614048544212302</v>
      </c>
      <c r="E354" s="103">
        <f t="shared" si="138"/>
        <v>1.5434810091771953</v>
      </c>
      <c r="F354" s="101">
        <f t="shared" si="139"/>
        <v>2076.6181151673095</v>
      </c>
      <c r="G354" s="104">
        <f t="shared" si="140"/>
        <v>1.5703147745868402</v>
      </c>
      <c r="H354" s="113">
        <f t="shared" si="141"/>
        <v>2.7817322043335881</v>
      </c>
      <c r="I354" s="114">
        <f t="shared" si="142"/>
        <v>1.2030769190733499</v>
      </c>
      <c r="J354" s="101">
        <f t="shared" si="143"/>
        <v>1.0001497228816767</v>
      </c>
      <c r="K354" s="104">
        <f t="shared" si="144"/>
        <v>1.7303421816427307E-2</v>
      </c>
      <c r="L354" s="102">
        <f t="shared" si="145"/>
        <v>1</v>
      </c>
      <c r="M354" s="103">
        <f t="shared" si="146"/>
        <v>9.0852032004615012E-10</v>
      </c>
      <c r="N354" s="101">
        <f t="shared" si="147"/>
        <v>1</v>
      </c>
      <c r="O354" s="104">
        <f t="shared" si="148"/>
        <v>1.45363251207384E-10</v>
      </c>
      <c r="P354" s="105">
        <f t="shared" ca="1" si="149"/>
        <v>1.8332415524570003</v>
      </c>
      <c r="Q354" s="106">
        <f t="shared" ca="1" si="150"/>
        <v>1.0424525055188962</v>
      </c>
      <c r="R354" s="107">
        <f t="shared" ca="1" si="151"/>
        <v>-22.256416051421301</v>
      </c>
      <c r="S354" s="108">
        <f t="shared" ca="1" si="152"/>
        <v>-83.285206637036325</v>
      </c>
      <c r="T354" s="116">
        <f t="shared" ca="1" si="153"/>
        <v>96.714793362963675</v>
      </c>
      <c r="V354" s="72">
        <f t="shared" ca="1" si="154"/>
        <v>27542</v>
      </c>
      <c r="W354" s="72">
        <f t="shared" si="155"/>
        <v>758561764</v>
      </c>
      <c r="Y354" s="110">
        <f t="shared" si="156"/>
        <v>6.6202728777334707</v>
      </c>
      <c r="Z354" s="111">
        <f t="shared" si="157"/>
        <v>-22.032592221024231</v>
      </c>
      <c r="AA354" s="72">
        <f t="shared" si="158"/>
        <v>157.96740777897577</v>
      </c>
      <c r="AB354" s="110">
        <f t="shared" ca="1" si="159"/>
        <v>-12.959088582273267</v>
      </c>
      <c r="AC354" s="111">
        <f t="shared" ca="1" si="160"/>
        <v>-61.252614416012115</v>
      </c>
      <c r="AD354" s="72">
        <f t="shared" ca="1" si="161"/>
        <v>118.74738558398789</v>
      </c>
    </row>
    <row r="355" spans="1:30">
      <c r="A355" s="118">
        <v>27702.5</v>
      </c>
      <c r="B355" s="101">
        <f t="shared" ca="1" si="135"/>
        <v>1420.6055074622273</v>
      </c>
      <c r="C355" s="102">
        <f t="shared" ca="1" si="136"/>
        <v>1.5700924015479985</v>
      </c>
      <c r="D355" s="102">
        <f t="shared" si="137"/>
        <v>36.827256877562867</v>
      </c>
      <c r="E355" s="103">
        <f t="shared" si="138"/>
        <v>1.5436391879325777</v>
      </c>
      <c r="F355" s="101">
        <f t="shared" si="139"/>
        <v>2088.7195286601245</v>
      </c>
      <c r="G355" s="104">
        <f t="shared" si="140"/>
        <v>1.570317564555888</v>
      </c>
      <c r="H355" s="113">
        <f t="shared" si="141"/>
        <v>2.7958530309991514</v>
      </c>
      <c r="I355" s="114">
        <f t="shared" si="142"/>
        <v>1.2050219064224679</v>
      </c>
      <c r="J355" s="101">
        <f t="shared" si="143"/>
        <v>1.0001514728428988</v>
      </c>
      <c r="K355" s="104">
        <f t="shared" si="144"/>
        <v>1.7404236573402985E-2</v>
      </c>
      <c r="L355" s="102">
        <f t="shared" si="145"/>
        <v>1</v>
      </c>
      <c r="M355" s="103">
        <f t="shared" si="146"/>
        <v>9.1381468905956262E-10</v>
      </c>
      <c r="N355" s="101">
        <f t="shared" si="147"/>
        <v>1</v>
      </c>
      <c r="O355" s="104">
        <f t="shared" si="148"/>
        <v>1.4621035024953E-10</v>
      </c>
      <c r="P355" s="105">
        <f t="shared" ca="1" si="149"/>
        <v>1.8407708878191693</v>
      </c>
      <c r="Q355" s="106">
        <f t="shared" ca="1" si="150"/>
        <v>1.0453952151083998</v>
      </c>
      <c r="R355" s="107">
        <f t="shared" ca="1" si="151"/>
        <v>-22.298558933905571</v>
      </c>
      <c r="S355" s="108">
        <f t="shared" ca="1" si="152"/>
        <v>-83.339480081654415</v>
      </c>
      <c r="T355" s="116">
        <f t="shared" ca="1" si="153"/>
        <v>96.660519918345585</v>
      </c>
      <c r="V355" s="72">
        <f t="shared" ca="1" si="154"/>
        <v>27702.5</v>
      </c>
      <c r="W355" s="72">
        <f t="shared" si="155"/>
        <v>767428506.25</v>
      </c>
      <c r="Y355" s="110">
        <f t="shared" si="156"/>
        <v>6.6137682959265351</v>
      </c>
      <c r="Z355" s="111">
        <f t="shared" si="157"/>
        <v>-21.927088767876832</v>
      </c>
      <c r="AA355" s="72">
        <f t="shared" si="158"/>
        <v>158.07291123212318</v>
      </c>
      <c r="AB355" s="110">
        <f t="shared" ca="1" si="159"/>
        <v>-12.994726882950605</v>
      </c>
      <c r="AC355" s="111">
        <f t="shared" ca="1" si="160"/>
        <v>-61.41239131377764</v>
      </c>
      <c r="AD355" s="72">
        <f t="shared" ca="1" si="161"/>
        <v>118.58760868622235</v>
      </c>
    </row>
    <row r="356" spans="1:30">
      <c r="A356" s="118">
        <v>27863</v>
      </c>
      <c r="B356" s="101">
        <f t="shared" ca="1" si="135"/>
        <v>1428.8360668447053</v>
      </c>
      <c r="C356" s="102">
        <f t="shared" ca="1" si="136"/>
        <v>1.5700964563864985</v>
      </c>
      <c r="D356" s="102">
        <f t="shared" si="137"/>
        <v>37.040466121742732</v>
      </c>
      <c r="E356" s="103">
        <f t="shared" si="138"/>
        <v>1.5437955457010961</v>
      </c>
      <c r="F356" s="101">
        <f t="shared" si="139"/>
        <v>2100.8209421690108</v>
      </c>
      <c r="G356" s="104">
        <f t="shared" si="140"/>
        <v>1.5703203223826734</v>
      </c>
      <c r="H356" s="113">
        <f t="shared" si="141"/>
        <v>2.8099843279856258</v>
      </c>
      <c r="I356" s="114">
        <f t="shared" si="142"/>
        <v>1.2069473384698741</v>
      </c>
      <c r="J356" s="101">
        <f t="shared" si="143"/>
        <v>1.0001532329692402</v>
      </c>
      <c r="K356" s="104">
        <f t="shared" si="144"/>
        <v>1.7505050976564251E-2</v>
      </c>
      <c r="L356" s="102">
        <f t="shared" si="145"/>
        <v>1</v>
      </c>
      <c r="M356" s="103">
        <f t="shared" si="146"/>
        <v>9.1910905807297512E-10</v>
      </c>
      <c r="N356" s="101">
        <f t="shared" si="147"/>
        <v>1</v>
      </c>
      <c r="O356" s="104">
        <f t="shared" si="148"/>
        <v>1.4705744929167601E-10</v>
      </c>
      <c r="P356" s="105">
        <f t="shared" ca="1" si="149"/>
        <v>1.8483134624240323</v>
      </c>
      <c r="Q356" s="106">
        <f t="shared" ca="1" si="150"/>
        <v>1.0483163400445479</v>
      </c>
      <c r="R356" s="107">
        <f t="shared" ca="1" si="151"/>
        <v>-22.340515796356822</v>
      </c>
      <c r="S356" s="108">
        <f t="shared" ca="1" si="152"/>
        <v>-83.393737018230922</v>
      </c>
      <c r="T356" s="116">
        <f t="shared" ca="1" si="153"/>
        <v>96.606262981769078</v>
      </c>
      <c r="V356" s="72">
        <f t="shared" ca="1" si="154"/>
        <v>27863</v>
      </c>
      <c r="W356" s="72">
        <f t="shared" si="155"/>
        <v>776346769</v>
      </c>
      <c r="Y356" s="110">
        <f t="shared" si="156"/>
        <v>6.6073659839998484</v>
      </c>
      <c r="Z356" s="111">
        <f t="shared" si="157"/>
        <v>-21.822703889097824</v>
      </c>
      <c r="AA356" s="72">
        <f t="shared" si="158"/>
        <v>158.17729611090218</v>
      </c>
      <c r="AB356" s="110">
        <f t="shared" ca="1" si="159"/>
        <v>-13.030281433475162</v>
      </c>
      <c r="AC356" s="111">
        <f t="shared" ca="1" si="160"/>
        <v>-61.571033129133106</v>
      </c>
      <c r="AD356" s="72">
        <f t="shared" ca="1" si="161"/>
        <v>118.4289668708669</v>
      </c>
    </row>
    <row r="357" spans="1:30">
      <c r="A357" s="118">
        <v>28023.5</v>
      </c>
      <c r="B357" s="101">
        <f t="shared" ca="1" si="135"/>
        <v>1437.0666262504067</v>
      </c>
      <c r="C357" s="102">
        <f t="shared" ca="1" si="136"/>
        <v>1.5701004647781764</v>
      </c>
      <c r="D357" s="102">
        <f t="shared" si="137"/>
        <v>37.253676261113398</v>
      </c>
      <c r="E357" s="103">
        <f t="shared" si="138"/>
        <v>1.5439501137406404</v>
      </c>
      <c r="F357" s="101">
        <f t="shared" si="139"/>
        <v>2112.9223556936927</v>
      </c>
      <c r="G357" s="104">
        <f t="shared" si="140"/>
        <v>1.5703230486194646</v>
      </c>
      <c r="H357" s="113">
        <f t="shared" si="141"/>
        <v>2.8241259381195554</v>
      </c>
      <c r="I357" s="114">
        <f t="shared" si="142"/>
        <v>1.2088534945965526</v>
      </c>
      <c r="J357" s="101">
        <f t="shared" si="143"/>
        <v>1.000155003260647</v>
      </c>
      <c r="K357" s="104">
        <f t="shared" si="144"/>
        <v>1.7605865023863718E-2</v>
      </c>
      <c r="L357" s="102">
        <f t="shared" si="145"/>
        <v>1</v>
      </c>
      <c r="M357" s="103">
        <f t="shared" si="146"/>
        <v>9.2440342708638762E-10</v>
      </c>
      <c r="N357" s="101">
        <f t="shared" si="147"/>
        <v>1</v>
      </c>
      <c r="O357" s="104">
        <f t="shared" si="148"/>
        <v>1.4790454833382201E-10</v>
      </c>
      <c r="P357" s="105">
        <f t="shared" ca="1" si="149"/>
        <v>1.8558691222792028</v>
      </c>
      <c r="Q357" s="106">
        <f t="shared" ca="1" si="150"/>
        <v>1.05121610612061</v>
      </c>
      <c r="R357" s="107">
        <f t="shared" ca="1" si="151"/>
        <v>-22.382288453064902</v>
      </c>
      <c r="S357" s="108">
        <f t="shared" ca="1" si="152"/>
        <v>-83.447972663520261</v>
      </c>
      <c r="T357" s="116">
        <f t="shared" ca="1" si="153"/>
        <v>96.552027336479739</v>
      </c>
      <c r="V357" s="72">
        <f t="shared" ca="1" si="154"/>
        <v>28023.5</v>
      </c>
      <c r="W357" s="72">
        <f t="shared" si="155"/>
        <v>785316552.25</v>
      </c>
      <c r="Y357" s="110">
        <f t="shared" si="156"/>
        <v>6.6010638446534973</v>
      </c>
      <c r="Z357" s="111">
        <f t="shared" si="157"/>
        <v>-21.7194216088613</v>
      </c>
      <c r="AA357" s="72">
        <f t="shared" si="158"/>
        <v>158.2805783911387</v>
      </c>
      <c r="AB357" s="110">
        <f t="shared" ca="1" si="159"/>
        <v>-13.065751950836892</v>
      </c>
      <c r="AC357" s="111">
        <f t="shared" ca="1" si="160"/>
        <v>-61.728551054658922</v>
      </c>
      <c r="AD357" s="72">
        <f t="shared" ca="1" si="161"/>
        <v>118.27144894534108</v>
      </c>
    </row>
    <row r="358" spans="1:30">
      <c r="A358" s="118">
        <v>28184</v>
      </c>
      <c r="B358" s="101">
        <f t="shared" ca="1" si="135"/>
        <v>1445.2971856789345</v>
      </c>
      <c r="C358" s="102">
        <f t="shared" ca="1" si="136"/>
        <v>1.5701044275165363</v>
      </c>
      <c r="D358" s="102">
        <f t="shared" si="137"/>
        <v>37.466887280392271</v>
      </c>
      <c r="E358" s="103">
        <f t="shared" si="138"/>
        <v>1.5441029225979357</v>
      </c>
      <c r="F358" s="101">
        <f t="shared" si="139"/>
        <v>2125.0237692338992</v>
      </c>
      <c r="G358" s="104">
        <f t="shared" si="140"/>
        <v>1.5703257438059504</v>
      </c>
      <c r="H358" s="113">
        <f t="shared" si="141"/>
        <v>2.8382777072463568</v>
      </c>
      <c r="I358" s="114">
        <f t="shared" si="142"/>
        <v>1.210740649177882</v>
      </c>
      <c r="J358" s="101">
        <f t="shared" si="143"/>
        <v>1.0001567837170653</v>
      </c>
      <c r="K358" s="104">
        <f t="shared" si="144"/>
        <v>1.7706678713254039E-2</v>
      </c>
      <c r="L358" s="102">
        <f t="shared" si="145"/>
        <v>1</v>
      </c>
      <c r="M358" s="103">
        <f t="shared" si="146"/>
        <v>9.2969779609980012E-10</v>
      </c>
      <c r="N358" s="101">
        <f t="shared" si="147"/>
        <v>1</v>
      </c>
      <c r="O358" s="104">
        <f t="shared" si="148"/>
        <v>1.4875164737596802E-10</v>
      </c>
      <c r="P358" s="105">
        <f t="shared" ca="1" si="149"/>
        <v>1.8634377156547592</v>
      </c>
      <c r="Q358" s="106">
        <f t="shared" ca="1" si="150"/>
        <v>1.0540947366486431</v>
      </c>
      <c r="R358" s="107">
        <f t="shared" ca="1" si="151"/>
        <v>-22.423878684423745</v>
      </c>
      <c r="S358" s="108">
        <f t="shared" ca="1" si="152"/>
        <v>-83.502182417880135</v>
      </c>
      <c r="T358" s="116">
        <f t="shared" ca="1" si="153"/>
        <v>96.497817582119865</v>
      </c>
      <c r="V358" s="72">
        <f t="shared" ca="1" si="154"/>
        <v>28184</v>
      </c>
      <c r="W358" s="72">
        <f t="shared" si="155"/>
        <v>794337856</v>
      </c>
      <c r="Y358" s="110">
        <f t="shared" si="156"/>
        <v>6.5948598329360211</v>
      </c>
      <c r="Z358" s="111">
        <f t="shared" si="157"/>
        <v>-21.617226237420596</v>
      </c>
      <c r="AA358" s="72">
        <f t="shared" si="158"/>
        <v>158.3827737625794</v>
      </c>
      <c r="AB358" s="110">
        <f t="shared" ca="1" si="159"/>
        <v>-13.101138170478261</v>
      </c>
      <c r="AC358" s="111">
        <f t="shared" ca="1" si="160"/>
        <v>-61.884956180459554</v>
      </c>
      <c r="AD358" s="72">
        <f t="shared" ca="1" si="161"/>
        <v>118.11504381954045</v>
      </c>
    </row>
    <row r="359" spans="1:30">
      <c r="A359" s="118">
        <v>28348</v>
      </c>
      <c r="B359" s="101">
        <f t="shared" ca="1" si="135"/>
        <v>1453.7072277349982</v>
      </c>
      <c r="C359" s="102">
        <f t="shared" ca="1" si="136"/>
        <v>1.5701084303190533</v>
      </c>
      <c r="D359" s="102">
        <f t="shared" si="137"/>
        <v>37.684748654511075</v>
      </c>
      <c r="E359" s="103">
        <f t="shared" si="138"/>
        <v>1.5442572776514263</v>
      </c>
      <c r="F359" s="101">
        <f t="shared" si="139"/>
        <v>2137.3890765430815</v>
      </c>
      <c r="G359" s="104">
        <f t="shared" si="140"/>
        <v>1.5703284662413564</v>
      </c>
      <c r="H359" s="113">
        <f t="shared" si="141"/>
        <v>2.8527484183364966</v>
      </c>
      <c r="I359" s="114">
        <f t="shared" si="142"/>
        <v>1.2126496094020318</v>
      </c>
      <c r="J359" s="101">
        <f t="shared" si="143"/>
        <v>1.0001586134995082</v>
      </c>
      <c r="K359" s="104">
        <f t="shared" si="144"/>
        <v>1.7809690460176331E-2</v>
      </c>
      <c r="L359" s="102">
        <f t="shared" si="145"/>
        <v>1</v>
      </c>
      <c r="M359" s="103">
        <f t="shared" si="146"/>
        <v>9.3510761864309999E-10</v>
      </c>
      <c r="N359" s="101">
        <f t="shared" si="147"/>
        <v>1</v>
      </c>
      <c r="O359" s="104">
        <f t="shared" si="148"/>
        <v>1.49617218982896E-10</v>
      </c>
      <c r="P359" s="105">
        <f t="shared" ca="1" si="149"/>
        <v>1.8711845603540784</v>
      </c>
      <c r="Q359" s="106">
        <f t="shared" ca="1" si="150"/>
        <v>1.0570145388975345</v>
      </c>
      <c r="R359" s="107">
        <f t="shared" ca="1" si="151"/>
        <v>-22.466189249989181</v>
      </c>
      <c r="S359" s="108">
        <f t="shared" ca="1" si="152"/>
        <v>-83.557542972431804</v>
      </c>
      <c r="T359" s="116">
        <f t="shared" ca="1" si="153"/>
        <v>96.442457027568196</v>
      </c>
      <c r="V359" s="72">
        <f t="shared" ca="1" si="154"/>
        <v>28348</v>
      </c>
      <c r="W359" s="72">
        <f t="shared" si="155"/>
        <v>803609104</v>
      </c>
      <c r="Y359" s="110">
        <f t="shared" si="156"/>
        <v>6.5886198174609998</v>
      </c>
      <c r="Z359" s="111">
        <f t="shared" si="157"/>
        <v>-21.513908995337726</v>
      </c>
      <c r="AA359" s="72">
        <f t="shared" si="158"/>
        <v>158.48609100466228</v>
      </c>
      <c r="AB359" s="110">
        <f t="shared" ca="1" si="159"/>
        <v>-13.13720872056868</v>
      </c>
      <c r="AC359" s="111">
        <f t="shared" ca="1" si="160"/>
        <v>-62.043633977094089</v>
      </c>
      <c r="AD359" s="72">
        <f t="shared" ca="1" si="161"/>
        <v>117.95636602290591</v>
      </c>
    </row>
    <row r="360" spans="1:30">
      <c r="A360" s="118">
        <v>28512</v>
      </c>
      <c r="B360" s="101">
        <f t="shared" ca="1" si="135"/>
        <v>1462.1172698140863</v>
      </c>
      <c r="C360" s="102">
        <f t="shared" ca="1" si="136"/>
        <v>1.5701123870736393</v>
      </c>
      <c r="D360" s="102">
        <f t="shared" si="137"/>
        <v>37.902610916165564</v>
      </c>
      <c r="E360" s="103">
        <f t="shared" si="138"/>
        <v>1.5444098582586716</v>
      </c>
      <c r="F360" s="101">
        <f t="shared" si="139"/>
        <v>2149.754383867923</v>
      </c>
      <c r="G360" s="104">
        <f t="shared" si="140"/>
        <v>1.5703311573580681</v>
      </c>
      <c r="H360" s="113">
        <f t="shared" si="141"/>
        <v>2.8672294202546795</v>
      </c>
      <c r="I360" s="114">
        <f t="shared" si="142"/>
        <v>1.2145392939678459</v>
      </c>
      <c r="J360" s="101">
        <f t="shared" si="143"/>
        <v>1.0001604538950155</v>
      </c>
      <c r="K360" s="104">
        <f t="shared" si="144"/>
        <v>1.7912701829087829E-2</v>
      </c>
      <c r="L360" s="102">
        <f t="shared" si="145"/>
        <v>1</v>
      </c>
      <c r="M360" s="103">
        <f t="shared" si="146"/>
        <v>9.4051744118640007E-10</v>
      </c>
      <c r="N360" s="101">
        <f t="shared" si="147"/>
        <v>1</v>
      </c>
      <c r="O360" s="104">
        <f t="shared" si="148"/>
        <v>1.5048279058982401E-10</v>
      </c>
      <c r="P360" s="105">
        <f t="shared" ca="1" si="149"/>
        <v>1.8789445955837512</v>
      </c>
      <c r="Q360" s="106">
        <f t="shared" ca="1" si="150"/>
        <v>1.0599127373015422</v>
      </c>
      <c r="R360" s="107">
        <f t="shared" ca="1" si="151"/>
        <v>-22.508313001597703</v>
      </c>
      <c r="S360" s="108">
        <f t="shared" ca="1" si="152"/>
        <v>-83.612867345561625</v>
      </c>
      <c r="T360" s="116">
        <f t="shared" ca="1" si="153"/>
        <v>96.387132654438375</v>
      </c>
      <c r="V360" s="72">
        <f t="shared" ca="1" si="154"/>
        <v>28512</v>
      </c>
      <c r="W360" s="72">
        <f t="shared" si="155"/>
        <v>812934144</v>
      </c>
      <c r="Y360" s="110">
        <f t="shared" si="156"/>
        <v>6.5824780998713273</v>
      </c>
      <c r="Z360" s="111">
        <f t="shared" si="157"/>
        <v>-21.411694351038655</v>
      </c>
      <c r="AA360" s="72">
        <f t="shared" si="158"/>
        <v>158.58830564896135</v>
      </c>
      <c r="AB360" s="110">
        <f t="shared" ca="1" si="159"/>
        <v>-13.173190754587525</v>
      </c>
      <c r="AC360" s="111">
        <f t="shared" ca="1" si="160"/>
        <v>-62.201172994522942</v>
      </c>
      <c r="AD360" s="72">
        <f t="shared" ca="1" si="161"/>
        <v>117.79882700547705</v>
      </c>
    </row>
    <row r="361" spans="1:30">
      <c r="A361" s="118">
        <v>28676</v>
      </c>
      <c r="B361" s="101">
        <f t="shared" ca="1" si="135"/>
        <v>1470.527311915803</v>
      </c>
      <c r="C361" s="102">
        <f t="shared" ca="1" si="136"/>
        <v>1.5701162985703476</v>
      </c>
      <c r="D361" s="102">
        <f t="shared" si="137"/>
        <v>38.120474050138654</v>
      </c>
      <c r="E361" s="103">
        <f t="shared" si="138"/>
        <v>1.5445606948360322</v>
      </c>
      <c r="F361" s="101">
        <f t="shared" si="139"/>
        <v>2162.119691208155</v>
      </c>
      <c r="G361" s="104">
        <f t="shared" si="140"/>
        <v>1.5703338176934261</v>
      </c>
      <c r="H361" s="113">
        <f t="shared" si="141"/>
        <v>2.8817205578628631</v>
      </c>
      <c r="I361" s="114">
        <f t="shared" si="142"/>
        <v>1.2164099800679899</v>
      </c>
      <c r="J361" s="101">
        <f t="shared" si="143"/>
        <v>1.0001623049035282</v>
      </c>
      <c r="K361" s="104">
        <f t="shared" si="144"/>
        <v>1.8015712817804456E-2</v>
      </c>
      <c r="L361" s="102">
        <f t="shared" si="145"/>
        <v>1</v>
      </c>
      <c r="M361" s="103">
        <f t="shared" si="146"/>
        <v>9.4592726372970016E-10</v>
      </c>
      <c r="N361" s="101">
        <f t="shared" si="147"/>
        <v>1</v>
      </c>
      <c r="O361" s="104">
        <f t="shared" si="148"/>
        <v>1.5134836219675201E-10</v>
      </c>
      <c r="P361" s="105">
        <f t="shared" ca="1" si="149"/>
        <v>1.8867176665625092</v>
      </c>
      <c r="Q361" s="106">
        <f t="shared" ca="1" si="150"/>
        <v>1.0627895621930659</v>
      </c>
      <c r="R361" s="107">
        <f t="shared" ca="1" si="151"/>
        <v>-22.550251735466933</v>
      </c>
      <c r="S361" s="108">
        <f t="shared" ca="1" si="152"/>
        <v>-83.66815118557389</v>
      </c>
      <c r="T361" s="116">
        <f t="shared" ca="1" si="153"/>
        <v>96.33184881442611</v>
      </c>
      <c r="V361" s="72">
        <f t="shared" ca="1" si="154"/>
        <v>28676</v>
      </c>
      <c r="W361" s="72">
        <f t="shared" si="155"/>
        <v>822312976</v>
      </c>
      <c r="Y361" s="110">
        <f t="shared" si="156"/>
        <v>6.5764326581113934</v>
      </c>
      <c r="Z361" s="111">
        <f t="shared" si="157"/>
        <v>-21.310566453215717</v>
      </c>
      <c r="AA361" s="72">
        <f t="shared" si="158"/>
        <v>158.68943354678427</v>
      </c>
      <c r="AB361" s="110">
        <f t="shared" ca="1" si="159"/>
        <v>-13.209084046696823</v>
      </c>
      <c r="AC361" s="111">
        <f t="shared" ca="1" si="160"/>
        <v>-62.357584732358156</v>
      </c>
      <c r="AD361" s="72">
        <f t="shared" ca="1" si="161"/>
        <v>117.64241526764184</v>
      </c>
    </row>
    <row r="362" spans="1:30">
      <c r="A362" s="118">
        <v>28840</v>
      </c>
      <c r="B362" s="101">
        <f t="shared" ca="1" si="135"/>
        <v>1478.9373540397626</v>
      </c>
      <c r="C362" s="102">
        <f t="shared" ca="1" si="136"/>
        <v>1.5701201655812607</v>
      </c>
      <c r="D362" s="102">
        <f t="shared" si="137"/>
        <v>38.33833804155914</v>
      </c>
      <c r="E362" s="103">
        <f t="shared" si="138"/>
        <v>1.5447098171088061</v>
      </c>
      <c r="F362" s="101">
        <f t="shared" si="139"/>
        <v>2174.4849985635155</v>
      </c>
      <c r="G362" s="104">
        <f t="shared" si="140"/>
        <v>1.5703364477725494</v>
      </c>
      <c r="H362" s="113">
        <f t="shared" si="141"/>
        <v>2.8962216790204045</v>
      </c>
      <c r="I362" s="114">
        <f t="shared" si="142"/>
        <v>1.2182619398813321</v>
      </c>
      <c r="J362" s="101">
        <f t="shared" si="143"/>
        <v>1.0001641665249879</v>
      </c>
      <c r="K362" s="104">
        <f t="shared" si="144"/>
        <v>1.8118723424142169E-2</v>
      </c>
      <c r="L362" s="102">
        <f t="shared" si="145"/>
        <v>1</v>
      </c>
      <c r="M362" s="103">
        <f t="shared" si="146"/>
        <v>9.5133708627300003E-10</v>
      </c>
      <c r="N362" s="101">
        <f t="shared" si="147"/>
        <v>1</v>
      </c>
      <c r="O362" s="104">
        <f t="shared" si="148"/>
        <v>1.5221393380368E-10</v>
      </c>
      <c r="P362" s="105">
        <f t="shared" ca="1" si="149"/>
        <v>1.8945036208239183</v>
      </c>
      <c r="Q362" s="106">
        <f t="shared" ca="1" si="150"/>
        <v>1.065645241280851</v>
      </c>
      <c r="R362" s="107">
        <f t="shared" ca="1" si="151"/>
        <v>-22.592007215087214</v>
      </c>
      <c r="S362" s="108">
        <f t="shared" ca="1" si="152"/>
        <v>-83.723390315583245</v>
      </c>
      <c r="T362" s="116">
        <f t="shared" ca="1" si="153"/>
        <v>96.276609684416755</v>
      </c>
      <c r="V362" s="72">
        <f t="shared" ca="1" si="154"/>
        <v>28840</v>
      </c>
      <c r="W362" s="72">
        <f t="shared" si="155"/>
        <v>831745600</v>
      </c>
      <c r="Y362" s="110">
        <f t="shared" si="156"/>
        <v>6.5704815207877818</v>
      </c>
      <c r="Z362" s="111">
        <f t="shared" si="157"/>
        <v>-21.210509737130486</v>
      </c>
      <c r="AA362" s="72">
        <f t="shared" si="158"/>
        <v>158.78949026286952</v>
      </c>
      <c r="AB362" s="110">
        <f t="shared" ca="1" si="159"/>
        <v>-13.244888388993497</v>
      </c>
      <c r="AC362" s="111">
        <f t="shared" ca="1" si="160"/>
        <v>-62.512880578452773</v>
      </c>
      <c r="AD362" s="72">
        <f t="shared" ca="1" si="161"/>
        <v>117.48711942154722</v>
      </c>
    </row>
    <row r="363" spans="1:30">
      <c r="A363" s="118">
        <v>29008</v>
      </c>
      <c r="B363" s="101">
        <f t="shared" ca="1" si="135"/>
        <v>1487.5525191650243</v>
      </c>
      <c r="C363" s="102">
        <f t="shared" ca="1" si="136"/>
        <v>1.5701240815716622</v>
      </c>
      <c r="D363" s="102">
        <f t="shared" si="137"/>
        <v>38.56151666274868</v>
      </c>
      <c r="E363" s="103">
        <f t="shared" si="138"/>
        <v>1.5448608293432997</v>
      </c>
      <c r="F363" s="101">
        <f t="shared" si="139"/>
        <v>2187.1518987966197</v>
      </c>
      <c r="G363" s="104">
        <f t="shared" si="140"/>
        <v>1.5703391111641984</v>
      </c>
      <c r="H363" s="113">
        <f t="shared" si="141"/>
        <v>2.9110866818750161</v>
      </c>
      <c r="I363" s="114">
        <f t="shared" si="142"/>
        <v>1.2201399318320962</v>
      </c>
      <c r="J363" s="101">
        <f t="shared" si="143"/>
        <v>1.0001660845561688</v>
      </c>
      <c r="K363" s="104">
        <f t="shared" si="144"/>
        <v>1.8224246085527925E-2</v>
      </c>
      <c r="L363" s="102">
        <f t="shared" si="145"/>
        <v>1</v>
      </c>
      <c r="M363" s="103">
        <f t="shared" si="146"/>
        <v>9.5687885570760015E-10</v>
      </c>
      <c r="N363" s="101">
        <f t="shared" si="147"/>
        <v>1</v>
      </c>
      <c r="O363" s="104">
        <f t="shared" si="148"/>
        <v>1.5310061691321602E-10</v>
      </c>
      <c r="P363" s="105">
        <f t="shared" ca="1" si="149"/>
        <v>1.902492677883435</v>
      </c>
      <c r="Q363" s="106">
        <f t="shared" ca="1" si="150"/>
        <v>1.0685488806480541</v>
      </c>
      <c r="R363" s="107">
        <f t="shared" ca="1" si="151"/>
        <v>-22.634592917861717</v>
      </c>
      <c r="S363" s="108">
        <f t="shared" ca="1" si="152"/>
        <v>-83.779926193883924</v>
      </c>
      <c r="T363" s="116">
        <f t="shared" ca="1" si="153"/>
        <v>96.220073806116076</v>
      </c>
      <c r="V363" s="72">
        <f t="shared" ca="1" si="154"/>
        <v>29008</v>
      </c>
      <c r="W363" s="72">
        <f t="shared" si="155"/>
        <v>841464064</v>
      </c>
      <c r="Y363" s="110">
        <f t="shared" si="156"/>
        <v>6.5644810074102651</v>
      </c>
      <c r="Z363" s="111">
        <f t="shared" si="157"/>
        <v>-21.109107328250644</v>
      </c>
      <c r="AA363" s="72">
        <f t="shared" si="158"/>
        <v>158.89089267174936</v>
      </c>
      <c r="AB363" s="110">
        <f t="shared" ca="1" si="159"/>
        <v>-13.281473578390479</v>
      </c>
      <c r="AC363" s="111">
        <f t="shared" ca="1" si="160"/>
        <v>-62.670818865633301</v>
      </c>
      <c r="AD363" s="72">
        <f t="shared" ca="1" si="161"/>
        <v>117.32918113436671</v>
      </c>
    </row>
    <row r="364" spans="1:30">
      <c r="A364" s="118">
        <v>29176</v>
      </c>
      <c r="B364" s="101">
        <f t="shared" ca="1" si="135"/>
        <v>1496.1676843128348</v>
      </c>
      <c r="C364" s="102">
        <f t="shared" ca="1" si="136"/>
        <v>1.5701279524643059</v>
      </c>
      <c r="D364" s="102">
        <f t="shared" si="137"/>
        <v>38.784696153201367</v>
      </c>
      <c r="E364" s="103">
        <f t="shared" si="138"/>
        <v>1.5450101036362078</v>
      </c>
      <c r="F364" s="101">
        <f t="shared" si="139"/>
        <v>2199.8187990450601</v>
      </c>
      <c r="G364" s="104">
        <f t="shared" si="140"/>
        <v>1.5703417438833973</v>
      </c>
      <c r="H364" s="113">
        <f t="shared" si="141"/>
        <v>2.9259618473653375</v>
      </c>
      <c r="I364" s="114">
        <f t="shared" si="142"/>
        <v>1.2219988354063391</v>
      </c>
      <c r="J364" s="101">
        <f t="shared" si="143"/>
        <v>1.0001680137241884</v>
      </c>
      <c r="K364" s="104">
        <f t="shared" si="144"/>
        <v>1.8329768341015181E-2</v>
      </c>
      <c r="L364" s="102">
        <f t="shared" si="145"/>
        <v>1</v>
      </c>
      <c r="M364" s="103">
        <f t="shared" si="146"/>
        <v>9.6242062514220007E-10</v>
      </c>
      <c r="N364" s="101">
        <f t="shared" si="147"/>
        <v>1</v>
      </c>
      <c r="O364" s="104">
        <f t="shared" si="148"/>
        <v>1.5398730002275201E-10</v>
      </c>
      <c r="P364" s="105">
        <f t="shared" ca="1" si="149"/>
        <v>1.9104949377384377</v>
      </c>
      <c r="Q364" s="106">
        <f t="shared" ca="1" si="150"/>
        <v>1.0714308055152726</v>
      </c>
      <c r="R364" s="107">
        <f t="shared" ca="1" si="151"/>
        <v>-22.676989963267758</v>
      </c>
      <c r="S364" s="108">
        <f t="shared" ca="1" si="152"/>
        <v>-83.836406818542144</v>
      </c>
      <c r="T364" s="116">
        <f t="shared" ca="1" si="153"/>
        <v>96.163593181457856</v>
      </c>
      <c r="V364" s="72">
        <f t="shared" ca="1" si="154"/>
        <v>29176</v>
      </c>
      <c r="W364" s="72">
        <f t="shared" si="155"/>
        <v>851238976</v>
      </c>
      <c r="Y364" s="110">
        <f t="shared" si="156"/>
        <v>6.558575423466154</v>
      </c>
      <c r="Z364" s="111">
        <f t="shared" si="157"/>
        <v>-21.00879682212625</v>
      </c>
      <c r="AA364" s="72">
        <f t="shared" si="158"/>
        <v>158.99120317787376</v>
      </c>
      <c r="AB364" s="110">
        <f t="shared" ca="1" si="159"/>
        <v>-13.317965039852409</v>
      </c>
      <c r="AC364" s="111">
        <f t="shared" ca="1" si="160"/>
        <v>-62.827609996415894</v>
      </c>
      <c r="AD364" s="72">
        <f t="shared" ca="1" si="161"/>
        <v>117.1723900035841</v>
      </c>
    </row>
    <row r="365" spans="1:30">
      <c r="A365" s="118">
        <v>29344</v>
      </c>
      <c r="B365" s="101">
        <f t="shared" ca="1" si="135"/>
        <v>1504.782849482807</v>
      </c>
      <c r="C365" s="102">
        <f t="shared" ca="1" si="136"/>
        <v>1.570131779033771</v>
      </c>
      <c r="D365" s="102">
        <f t="shared" si="137"/>
        <v>39.007876497997003</v>
      </c>
      <c r="E365" s="103">
        <f t="shared" si="138"/>
        <v>1.5451576698112879</v>
      </c>
      <c r="F365" s="101">
        <f t="shared" si="139"/>
        <v>2212.4856993085727</v>
      </c>
      <c r="G365" s="104">
        <f t="shared" si="140"/>
        <v>1.5703443464569626</v>
      </c>
      <c r="H365" s="113">
        <f t="shared" si="141"/>
        <v>2.9408470212797924</v>
      </c>
      <c r="I365" s="114">
        <f t="shared" si="142"/>
        <v>1.2238389275076806</v>
      </c>
      <c r="J365" s="101">
        <f t="shared" si="143"/>
        <v>1.0001699540289823</v>
      </c>
      <c r="K365" s="104">
        <f t="shared" si="144"/>
        <v>1.8435290188256317E-2</v>
      </c>
      <c r="L365" s="102">
        <f t="shared" si="145"/>
        <v>1</v>
      </c>
      <c r="M365" s="103">
        <f t="shared" si="146"/>
        <v>9.6796239457680019E-10</v>
      </c>
      <c r="N365" s="101">
        <f t="shared" si="147"/>
        <v>1</v>
      </c>
      <c r="O365" s="104">
        <f t="shared" si="148"/>
        <v>1.5487398313228801E-10</v>
      </c>
      <c r="P365" s="105">
        <f t="shared" ca="1" si="149"/>
        <v>1.9185102438073482</v>
      </c>
      <c r="Q365" s="106">
        <f t="shared" ca="1" si="150"/>
        <v>1.0742912522415662</v>
      </c>
      <c r="R365" s="107">
        <f t="shared" ca="1" si="151"/>
        <v>-22.719200146390332</v>
      </c>
      <c r="S365" s="108">
        <f t="shared" ca="1" si="152"/>
        <v>-83.892828232180236</v>
      </c>
      <c r="T365" s="116">
        <f t="shared" ca="1" si="153"/>
        <v>96.107171767819764</v>
      </c>
      <c r="V365" s="72">
        <f t="shared" ca="1" si="154"/>
        <v>29344</v>
      </c>
      <c r="W365" s="72">
        <f t="shared" si="155"/>
        <v>861070336</v>
      </c>
      <c r="Y365" s="110">
        <f t="shared" si="156"/>
        <v>6.5527628055629243</v>
      </c>
      <c r="Z365" s="111">
        <f t="shared" si="157"/>
        <v>-20.90956238339842</v>
      </c>
      <c r="AA365" s="72">
        <f t="shared" si="158"/>
        <v>159.09043761660158</v>
      </c>
      <c r="AB365" s="110">
        <f t="shared" ca="1" si="159"/>
        <v>-13.354362605071753</v>
      </c>
      <c r="AC365" s="111">
        <f t="shared" ca="1" si="160"/>
        <v>-62.983265848781777</v>
      </c>
      <c r="AD365" s="72">
        <f t="shared" ca="1" si="161"/>
        <v>117.01673415121823</v>
      </c>
    </row>
    <row r="366" spans="1:30">
      <c r="A366" s="118">
        <v>29512</v>
      </c>
      <c r="B366" s="101">
        <f t="shared" ca="1" si="135"/>
        <v>1513.3980146745625</v>
      </c>
      <c r="C366" s="102">
        <f t="shared" ca="1" si="136"/>
        <v>1.5701355620369994</v>
      </c>
      <c r="D366" s="102">
        <f t="shared" si="137"/>
        <v>39.231057682554855</v>
      </c>
      <c r="E366" s="103">
        <f t="shared" si="138"/>
        <v>1.5453035570139428</v>
      </c>
      <c r="F366" s="101">
        <f t="shared" si="139"/>
        <v>2225.1525995869019</v>
      </c>
      <c r="G366" s="104">
        <f t="shared" si="140"/>
        <v>1.5703469193997153</v>
      </c>
      <c r="H366" s="113">
        <f t="shared" si="141"/>
        <v>2.9557420524105349</v>
      </c>
      <c r="I366" s="114">
        <f t="shared" si="142"/>
        <v>1.2256604799732811</v>
      </c>
      <c r="J366" s="101">
        <f t="shared" si="143"/>
        <v>1.0001719054704854</v>
      </c>
      <c r="K366" s="104">
        <f t="shared" si="144"/>
        <v>1.8540811624903779E-2</v>
      </c>
      <c r="L366" s="102">
        <f t="shared" si="145"/>
        <v>1</v>
      </c>
      <c r="M366" s="103">
        <f t="shared" si="146"/>
        <v>9.735041640114001E-10</v>
      </c>
      <c r="N366" s="101">
        <f t="shared" si="147"/>
        <v>1</v>
      </c>
      <c r="O366" s="104">
        <f t="shared" si="148"/>
        <v>1.55760666241824E-10</v>
      </c>
      <c r="P366" s="105">
        <f t="shared" ca="1" si="149"/>
        <v>1.9265384418968445</v>
      </c>
      <c r="Q366" s="106">
        <f t="shared" ca="1" si="150"/>
        <v>1.0771304543948355</v>
      </c>
      <c r="R366" s="107">
        <f t="shared" ca="1" si="151"/>
        <v>-22.761225230344667</v>
      </c>
      <c r="S366" s="108">
        <f t="shared" ca="1" si="152"/>
        <v>-83.949186644954608</v>
      </c>
      <c r="T366" s="116">
        <f t="shared" ca="1" si="153"/>
        <v>96.050813355045392</v>
      </c>
      <c r="V366" s="72">
        <f t="shared" ca="1" si="154"/>
        <v>29512</v>
      </c>
      <c r="W366" s="72">
        <f t="shared" si="155"/>
        <v>870958144</v>
      </c>
      <c r="Y366" s="110">
        <f t="shared" si="156"/>
        <v>6.5470412398015778</v>
      </c>
      <c r="Z366" s="111">
        <f t="shared" si="157"/>
        <v>-20.811388466307687</v>
      </c>
      <c r="AA366" s="72">
        <f t="shared" si="158"/>
        <v>159.18861153369232</v>
      </c>
      <c r="AB366" s="110">
        <f t="shared" ca="1" si="159"/>
        <v>-13.390666123264744</v>
      </c>
      <c r="AC366" s="111">
        <f t="shared" ca="1" si="160"/>
        <v>-63.137798178646904</v>
      </c>
      <c r="AD366" s="72">
        <f t="shared" ca="1" si="161"/>
        <v>116.8622018213531</v>
      </c>
    </row>
    <row r="367" spans="1:30">
      <c r="A367" s="118">
        <v>29684</v>
      </c>
      <c r="B367" s="101">
        <f t="shared" ca="1" si="135"/>
        <v>1522.2183028692548</v>
      </c>
      <c r="C367" s="102">
        <f t="shared" ca="1" si="136"/>
        <v>1.5701393907496246</v>
      </c>
      <c r="D367" s="102">
        <f t="shared" si="137"/>
        <v>39.459553559952987</v>
      </c>
      <c r="E367" s="103">
        <f t="shared" si="138"/>
        <v>1.545451208051674</v>
      </c>
      <c r="F367" s="101">
        <f t="shared" si="139"/>
        <v>2238.1210927440861</v>
      </c>
      <c r="G367" s="104">
        <f t="shared" si="140"/>
        <v>1.5703495234308988</v>
      </c>
      <c r="H367" s="113">
        <f t="shared" si="141"/>
        <v>2.9710017843802445</v>
      </c>
      <c r="I367" s="114">
        <f t="shared" si="142"/>
        <v>1.2275064743653059</v>
      </c>
      <c r="J367" s="101">
        <f t="shared" si="143"/>
        <v>1.0001739149124191</v>
      </c>
      <c r="K367" s="104">
        <f t="shared" si="144"/>
        <v>1.8648845048884082E-2</v>
      </c>
      <c r="L367" s="102">
        <f t="shared" si="145"/>
        <v>1</v>
      </c>
      <c r="M367" s="103">
        <f t="shared" si="146"/>
        <v>9.7917788033730005E-10</v>
      </c>
      <c r="N367" s="101">
        <f t="shared" si="147"/>
        <v>1</v>
      </c>
      <c r="O367" s="104">
        <f t="shared" si="148"/>
        <v>1.5666846085396801E-10</v>
      </c>
      <c r="P367" s="105">
        <f t="shared" ca="1" si="149"/>
        <v>1.9347709851196577</v>
      </c>
      <c r="Q367" s="106">
        <f t="shared" ca="1" si="150"/>
        <v>1.080015488261203</v>
      </c>
      <c r="R367" s="107">
        <f t="shared" ca="1" si="151"/>
        <v>-22.804060957699932</v>
      </c>
      <c r="S367" s="108">
        <f t="shared" ca="1" si="152"/>
        <v>-84.006817868383322</v>
      </c>
      <c r="T367" s="116">
        <f t="shared" ca="1" si="153"/>
        <v>95.993182131616678</v>
      </c>
      <c r="V367" s="72">
        <f t="shared" ca="1" si="154"/>
        <v>29684</v>
      </c>
      <c r="W367" s="72">
        <f t="shared" si="155"/>
        <v>881139856</v>
      </c>
      <c r="Y367" s="110">
        <f t="shared" si="156"/>
        <v>6.5412758280125871</v>
      </c>
      <c r="Z367" s="111">
        <f t="shared" si="157"/>
        <v>-20.711959837490117</v>
      </c>
      <c r="AA367" s="72">
        <f t="shared" si="158"/>
        <v>159.28804016250987</v>
      </c>
      <c r="AB367" s="110">
        <f t="shared" ca="1" si="159"/>
        <v>-13.427736438831015</v>
      </c>
      <c r="AC367" s="111">
        <f t="shared" ca="1" si="160"/>
        <v>-63.294858030893209</v>
      </c>
      <c r="AD367" s="72">
        <f t="shared" ca="1" si="161"/>
        <v>116.70514196910679</v>
      </c>
    </row>
    <row r="368" spans="1:30">
      <c r="A368" s="118">
        <v>29856</v>
      </c>
      <c r="B368" s="101">
        <f t="shared" ca="1" si="135"/>
        <v>1531.0385910860045</v>
      </c>
      <c r="C368" s="102">
        <f t="shared" ca="1" si="136"/>
        <v>1.5701431753479487</v>
      </c>
      <c r="D368" s="102">
        <f t="shared" si="137"/>
        <v>39.68805028769664</v>
      </c>
      <c r="E368" s="103">
        <f t="shared" si="138"/>
        <v>1.5455971589445914</v>
      </c>
      <c r="F368" s="101">
        <f t="shared" si="139"/>
        <v>2251.0895859162724</v>
      </c>
      <c r="G368" s="104">
        <f t="shared" si="140"/>
        <v>1.5703520974585137</v>
      </c>
      <c r="H368" s="113">
        <f t="shared" si="141"/>
        <v>2.9862715371295079</v>
      </c>
      <c r="I368" s="114">
        <f t="shared" si="142"/>
        <v>1.2293335966219874</v>
      </c>
      <c r="J368" s="101">
        <f t="shared" si="143"/>
        <v>1.0001759360275564</v>
      </c>
      <c r="K368" s="104">
        <f t="shared" si="144"/>
        <v>1.87568780375061E-2</v>
      </c>
      <c r="L368" s="102">
        <f t="shared" si="145"/>
        <v>1</v>
      </c>
      <c r="M368" s="103">
        <f t="shared" si="146"/>
        <v>9.848515966632E-10</v>
      </c>
      <c r="N368" s="101">
        <f t="shared" si="147"/>
        <v>1</v>
      </c>
      <c r="O368" s="104">
        <f t="shared" si="148"/>
        <v>1.5757625546611201E-10</v>
      </c>
      <c r="P368" s="105">
        <f t="shared" ca="1" si="149"/>
        <v>1.9430167219840897</v>
      </c>
      <c r="Q368" s="106">
        <f t="shared" ca="1" si="150"/>
        <v>1.0828787404859903</v>
      </c>
      <c r="R368" s="107">
        <f t="shared" ca="1" si="151"/>
        <v>-22.846706308172593</v>
      </c>
      <c r="S368" s="108">
        <f t="shared" ca="1" si="152"/>
        <v>-84.064375528921275</v>
      </c>
      <c r="T368" s="116">
        <f t="shared" ca="1" si="153"/>
        <v>95.935624471078725</v>
      </c>
      <c r="V368" s="72">
        <f t="shared" ca="1" si="154"/>
        <v>29856</v>
      </c>
      <c r="W368" s="72">
        <f t="shared" si="155"/>
        <v>891380736</v>
      </c>
      <c r="Y368" s="110">
        <f t="shared" si="156"/>
        <v>6.5356019484854597</v>
      </c>
      <c r="Z368" s="111">
        <f t="shared" si="157"/>
        <v>-20.613610758357307</v>
      </c>
      <c r="AA368" s="72">
        <f t="shared" si="158"/>
        <v>159.38638924164269</v>
      </c>
      <c r="AB368" s="110">
        <f t="shared" ca="1" si="159"/>
        <v>-13.464707909776546</v>
      </c>
      <c r="AC368" s="111">
        <f t="shared" ca="1" si="160"/>
        <v>-63.450764770563929</v>
      </c>
      <c r="AD368" s="72">
        <f t="shared" ca="1" si="161"/>
        <v>116.54923522943608</v>
      </c>
    </row>
    <row r="369" spans="1:30">
      <c r="A369" s="118">
        <v>30028</v>
      </c>
      <c r="B369" s="101">
        <f t="shared" ca="1" si="135"/>
        <v>1539.8588793244321</v>
      </c>
      <c r="C369" s="102">
        <f t="shared" ca="1" si="136"/>
        <v>1.5701469165900293</v>
      </c>
      <c r="D369" s="102">
        <f t="shared" si="137"/>
        <v>39.91654785118277</v>
      </c>
      <c r="E369" s="103">
        <f t="shared" si="138"/>
        <v>1.5457414388832575</v>
      </c>
      <c r="F369" s="101">
        <f t="shared" si="139"/>
        <v>2264.0580791032025</v>
      </c>
      <c r="G369" s="104">
        <f t="shared" si="140"/>
        <v>1.5703546419981398</v>
      </c>
      <c r="H369" s="113">
        <f t="shared" si="141"/>
        <v>3.0015511577225786</v>
      </c>
      <c r="I369" s="114">
        <f t="shared" si="142"/>
        <v>1.2311421226601815</v>
      </c>
      <c r="J369" s="101">
        <f t="shared" si="143"/>
        <v>1.0001779688158265</v>
      </c>
      <c r="K369" s="104">
        <f t="shared" si="144"/>
        <v>1.8864910588250745E-2</v>
      </c>
      <c r="L369" s="102">
        <f t="shared" si="145"/>
        <v>1</v>
      </c>
      <c r="M369" s="103">
        <f t="shared" si="146"/>
        <v>9.9052531298910016E-10</v>
      </c>
      <c r="N369" s="101">
        <f t="shared" si="147"/>
        <v>1</v>
      </c>
      <c r="O369" s="104">
        <f t="shared" si="148"/>
        <v>1.5848405007825602E-10</v>
      </c>
      <c r="P369" s="105">
        <f t="shared" ca="1" si="149"/>
        <v>1.9512754945442696</v>
      </c>
      <c r="Q369" s="106">
        <f t="shared" ca="1" si="150"/>
        <v>1.0857204527972959</v>
      </c>
      <c r="R369" s="107">
        <f t="shared" ca="1" si="151"/>
        <v>-22.88916307566868</v>
      </c>
      <c r="S369" s="108">
        <f t="shared" ca="1" si="152"/>
        <v>-84.121856068030425</v>
      </c>
      <c r="T369" s="116">
        <f t="shared" ca="1" si="153"/>
        <v>95.878143931969575</v>
      </c>
      <c r="V369" s="72">
        <f t="shared" ca="1" si="154"/>
        <v>30028</v>
      </c>
      <c r="W369" s="72">
        <f t="shared" si="155"/>
        <v>901680784</v>
      </c>
      <c r="Y369" s="110">
        <f t="shared" si="156"/>
        <v>6.5300176991727987</v>
      </c>
      <c r="Z369" s="111">
        <f t="shared" si="157"/>
        <v>-20.516325449434134</v>
      </c>
      <c r="AA369" s="72">
        <f t="shared" si="158"/>
        <v>159.48367455056587</v>
      </c>
      <c r="AB369" s="110">
        <f t="shared" ca="1" si="159"/>
        <v>-13.501580427959974</v>
      </c>
      <c r="AC369" s="111">
        <f t="shared" ca="1" si="160"/>
        <v>-63.605530618596305</v>
      </c>
      <c r="AD369" s="72">
        <f t="shared" ca="1" si="161"/>
        <v>116.3944693814037</v>
      </c>
    </row>
    <row r="370" spans="1:30">
      <c r="A370" s="118">
        <v>30200</v>
      </c>
      <c r="B370" s="101">
        <f t="shared" ca="1" si="135"/>
        <v>1548.6791675841678</v>
      </c>
      <c r="C370" s="102">
        <f t="shared" ca="1" si="136"/>
        <v>1.5701506152166551</v>
      </c>
      <c r="D370" s="102">
        <f t="shared" si="137"/>
        <v>40.145046236140736</v>
      </c>
      <c r="E370" s="103">
        <f t="shared" si="138"/>
        <v>1.5458840763939272</v>
      </c>
      <c r="F370" s="101">
        <f t="shared" si="139"/>
        <v>2277.0265723046246</v>
      </c>
      <c r="G370" s="104">
        <f t="shared" si="140"/>
        <v>1.5703571575536115</v>
      </c>
      <c r="H370" s="113">
        <f t="shared" si="141"/>
        <v>3.0168404962242126</v>
      </c>
      <c r="I370" s="114">
        <f t="shared" si="142"/>
        <v>1.2329323232953875</v>
      </c>
      <c r="J370" s="101">
        <f t="shared" si="143"/>
        <v>1.0001800132771581</v>
      </c>
      <c r="K370" s="104">
        <f t="shared" si="144"/>
        <v>1.8972942698598987E-2</v>
      </c>
      <c r="L370" s="102">
        <f t="shared" si="145"/>
        <v>1</v>
      </c>
      <c r="M370" s="103">
        <f t="shared" si="146"/>
        <v>9.9619902931500011E-10</v>
      </c>
      <c r="N370" s="101">
        <f t="shared" si="147"/>
        <v>1</v>
      </c>
      <c r="O370" s="104">
        <f t="shared" si="148"/>
        <v>1.593918446904E-10</v>
      </c>
      <c r="P370" s="105">
        <f t="shared" ca="1" si="149"/>
        <v>1.9595471473083899</v>
      </c>
      <c r="Q370" s="106">
        <f t="shared" ca="1" si="150"/>
        <v>1.0885408639718388</v>
      </c>
      <c r="R370" s="107">
        <f t="shared" ca="1" si="151"/>
        <v>-22.931433022883532</v>
      </c>
      <c r="S370" s="108">
        <f t="shared" ca="1" si="152"/>
        <v>-84.17925608675742</v>
      </c>
      <c r="T370" s="116">
        <f t="shared" ca="1" si="153"/>
        <v>95.82074391324258</v>
      </c>
      <c r="V370" s="72">
        <f t="shared" ca="1" si="154"/>
        <v>30200</v>
      </c>
      <c r="W370" s="72">
        <f t="shared" si="155"/>
        <v>912040000</v>
      </c>
      <c r="Y370" s="110">
        <f t="shared" si="156"/>
        <v>6.5245212262313181</v>
      </c>
      <c r="Z370" s="111">
        <f t="shared" si="157"/>
        <v>-20.420088422858644</v>
      </c>
      <c r="AA370" s="72">
        <f t="shared" si="158"/>
        <v>159.57991157714136</v>
      </c>
      <c r="AB370" s="110">
        <f t="shared" ca="1" si="159"/>
        <v>-13.538353902233343</v>
      </c>
      <c r="AC370" s="111">
        <f t="shared" ca="1" si="160"/>
        <v>-63.759167663898751</v>
      </c>
      <c r="AD370" s="72">
        <f t="shared" ca="1" si="161"/>
        <v>116.24083233610125</v>
      </c>
    </row>
    <row r="371" spans="1:30">
      <c r="A371" s="118">
        <v>30375.75</v>
      </c>
      <c r="B371" s="101">
        <f t="shared" ca="1" si="135"/>
        <v>1557.6917586618968</v>
      </c>
      <c r="C371" s="102">
        <f t="shared" ca="1" si="136"/>
        <v>1.5701543512158849</v>
      </c>
      <c r="D371" s="102">
        <f t="shared" si="137"/>
        <v>40.378527251304469</v>
      </c>
      <c r="E371" s="103">
        <f t="shared" si="138"/>
        <v>1.5460281562074421</v>
      </c>
      <c r="F371" s="101">
        <f t="shared" si="139"/>
        <v>2290.2778088318378</v>
      </c>
      <c r="G371" s="104">
        <f t="shared" si="140"/>
        <v>1.5703596985273922</v>
      </c>
      <c r="H371" s="113">
        <f t="shared" si="141"/>
        <v>3.0324730629542396</v>
      </c>
      <c r="I371" s="114">
        <f t="shared" si="142"/>
        <v>1.2347429019538467</v>
      </c>
      <c r="J371" s="101">
        <f t="shared" si="143"/>
        <v>1.0001821143700125</v>
      </c>
      <c r="K371" s="104">
        <f t="shared" si="144"/>
        <v>1.9083329702665873E-2</v>
      </c>
      <c r="L371" s="102">
        <f t="shared" si="145"/>
        <v>1</v>
      </c>
      <c r="M371" s="103">
        <f t="shared" si="146"/>
        <v>1.0019964458514938E-9</v>
      </c>
      <c r="N371" s="101">
        <f t="shared" si="147"/>
        <v>1</v>
      </c>
      <c r="O371" s="104">
        <f t="shared" si="148"/>
        <v>1.60319431336239E-10</v>
      </c>
      <c r="P371" s="105">
        <f t="shared" ca="1" si="149"/>
        <v>1.9680122865747107</v>
      </c>
      <c r="Q371" s="106">
        <f t="shared" ca="1" si="150"/>
        <v>1.0914010092266462</v>
      </c>
      <c r="R371" s="107">
        <f t="shared" ca="1" si="151"/>
        <v>-22.974433381177167</v>
      </c>
      <c r="S371" s="108">
        <f t="shared" ca="1" si="152"/>
        <v>-84.237821011114306</v>
      </c>
      <c r="T371" s="116">
        <f t="shared" ca="1" si="153"/>
        <v>95.762178988885694</v>
      </c>
      <c r="V371" s="72">
        <f t="shared" ca="1" si="154"/>
        <v>30375.75</v>
      </c>
      <c r="W371" s="72">
        <f t="shared" si="155"/>
        <v>922686188.0625</v>
      </c>
      <c r="Y371" s="110">
        <f t="shared" si="156"/>
        <v>6.5189937053190938</v>
      </c>
      <c r="Z371" s="111">
        <f t="shared" si="157"/>
        <v>-20.32282020338193</v>
      </c>
      <c r="AA371" s="72">
        <f t="shared" si="158"/>
        <v>159.67717979661808</v>
      </c>
      <c r="AB371" s="110">
        <f t="shared" ca="1" si="159"/>
        <v>-13.575826739614758</v>
      </c>
      <c r="AC371" s="111">
        <f t="shared" ca="1" si="160"/>
        <v>-63.915000807732333</v>
      </c>
      <c r="AD371" s="72">
        <f t="shared" ca="1" si="161"/>
        <v>116.08499919226767</v>
      </c>
    </row>
    <row r="372" spans="1:30">
      <c r="A372" s="118">
        <v>30551.5</v>
      </c>
      <c r="B372" s="101">
        <f t="shared" ca="1" si="135"/>
        <v>1566.7043497611173</v>
      </c>
      <c r="C372" s="102">
        <f t="shared" ca="1" si="136"/>
        <v>1.5701580442318506</v>
      </c>
      <c r="D372" s="102">
        <f t="shared" si="137"/>
        <v>40.612009095047803</v>
      </c>
      <c r="E372" s="103">
        <f t="shared" si="138"/>
        <v>1.5461705793700404</v>
      </c>
      <c r="F372" s="101">
        <f t="shared" si="139"/>
        <v>2303.5290453736679</v>
      </c>
      <c r="G372" s="104">
        <f t="shared" si="140"/>
        <v>1.5703622102668597</v>
      </c>
      <c r="H372" s="113">
        <f t="shared" si="141"/>
        <v>3.0481154687364107</v>
      </c>
      <c r="I372" s="114">
        <f t="shared" si="142"/>
        <v>1.2365349032784474</v>
      </c>
      <c r="J372" s="101">
        <f t="shared" si="143"/>
        <v>1.0001842276503254</v>
      </c>
      <c r="K372" s="104">
        <f t="shared" si="144"/>
        <v>1.9193716241606418E-2</v>
      </c>
      <c r="L372" s="102">
        <f t="shared" si="145"/>
        <v>1</v>
      </c>
      <c r="M372" s="103">
        <f t="shared" si="146"/>
        <v>1.0077938623879876E-9</v>
      </c>
      <c r="N372" s="101">
        <f t="shared" si="147"/>
        <v>1</v>
      </c>
      <c r="O372" s="104">
        <f t="shared" si="148"/>
        <v>1.61247017982078E-10</v>
      </c>
      <c r="P372" s="105">
        <f t="shared" ca="1" si="149"/>
        <v>1.9764905532332315</v>
      </c>
      <c r="Q372" s="106">
        <f t="shared" ca="1" si="150"/>
        <v>1.0942394091331225</v>
      </c>
      <c r="R372" s="107">
        <f t="shared" ca="1" si="151"/>
        <v>-23.017242309212982</v>
      </c>
      <c r="S372" s="108">
        <f t="shared" ca="1" si="152"/>
        <v>-84.296295176305776</v>
      </c>
      <c r="T372" s="116">
        <f t="shared" ca="1" si="153"/>
        <v>95.703704823694224</v>
      </c>
      <c r="V372" s="72">
        <f t="shared" ca="1" si="154"/>
        <v>30551.5</v>
      </c>
      <c r="W372" s="72">
        <f t="shared" si="155"/>
        <v>933394152.25</v>
      </c>
      <c r="Y372" s="110">
        <f t="shared" si="156"/>
        <v>6.5135540644796279</v>
      </c>
      <c r="Z372" s="111">
        <f t="shared" si="157"/>
        <v>-20.226614685078587</v>
      </c>
      <c r="AA372" s="72">
        <f t="shared" si="158"/>
        <v>159.77338531492143</v>
      </c>
      <c r="AB372" s="110">
        <f t="shared" ca="1" si="159"/>
        <v>-13.613196026811103</v>
      </c>
      <c r="AC372" s="111">
        <f t="shared" ca="1" si="160"/>
        <v>-64.069680491227231</v>
      </c>
      <c r="AD372" s="72">
        <f t="shared" ca="1" si="161"/>
        <v>115.93031950877277</v>
      </c>
    </row>
    <row r="373" spans="1:30">
      <c r="A373" s="118">
        <v>30727.25</v>
      </c>
      <c r="B373" s="101">
        <f t="shared" ca="1" si="135"/>
        <v>1575.7169408814609</v>
      </c>
      <c r="C373" s="102">
        <f t="shared" ca="1" si="136"/>
        <v>1.5701616950021033</v>
      </c>
      <c r="D373" s="102">
        <f t="shared" si="137"/>
        <v>40.845491753161717</v>
      </c>
      <c r="E373" s="103">
        <f t="shared" si="138"/>
        <v>1.54631137428534</v>
      </c>
      <c r="F373" s="101">
        <f t="shared" si="139"/>
        <v>2316.7802819298645</v>
      </c>
      <c r="G373" s="104">
        <f t="shared" si="140"/>
        <v>1.570364693273647</v>
      </c>
      <c r="H373" s="113">
        <f t="shared" si="141"/>
        <v>3.063767562867608</v>
      </c>
      <c r="I373" s="114">
        <f t="shared" si="142"/>
        <v>1.2383086003931958</v>
      </c>
      <c r="J373" s="101">
        <f t="shared" si="143"/>
        <v>1.0001863531180195</v>
      </c>
      <c r="K373" s="104">
        <f t="shared" si="144"/>
        <v>1.9304102312733416E-2</v>
      </c>
      <c r="L373" s="102">
        <f t="shared" si="145"/>
        <v>1</v>
      </c>
      <c r="M373" s="103">
        <f t="shared" si="146"/>
        <v>1.0135912789244813E-9</v>
      </c>
      <c r="N373" s="101">
        <f t="shared" si="147"/>
        <v>1</v>
      </c>
      <c r="O373" s="104">
        <f t="shared" si="148"/>
        <v>1.6217460462791701E-10</v>
      </c>
      <c r="P373" s="105">
        <f t="shared" ca="1" si="149"/>
        <v>1.98498178907208</v>
      </c>
      <c r="Q373" s="106">
        <f t="shared" ca="1" si="150"/>
        <v>1.0970563090742105</v>
      </c>
      <c r="R373" s="107">
        <f t="shared" ca="1" si="151"/>
        <v>-23.059861592238278</v>
      </c>
      <c r="S373" s="108">
        <f t="shared" ca="1" si="152"/>
        <v>-84.35467543632474</v>
      </c>
      <c r="T373" s="116">
        <f t="shared" ca="1" si="153"/>
        <v>95.64532456367526</v>
      </c>
      <c r="V373" s="72">
        <f t="shared" ca="1" si="154"/>
        <v>30727.25</v>
      </c>
      <c r="W373" s="72">
        <f t="shared" si="155"/>
        <v>944163892.5625</v>
      </c>
      <c r="Y373" s="110">
        <f t="shared" si="156"/>
        <v>6.5082004727755214</v>
      </c>
      <c r="Z373" s="111">
        <f t="shared" si="157"/>
        <v>-20.131456247683229</v>
      </c>
      <c r="AA373" s="72">
        <f t="shared" si="158"/>
        <v>159.86854375231678</v>
      </c>
      <c r="AB373" s="110">
        <f t="shared" ca="1" si="159"/>
        <v>-13.650461718132297</v>
      </c>
      <c r="AC373" s="111">
        <f t="shared" ca="1" si="160"/>
        <v>-64.223219188641536</v>
      </c>
      <c r="AD373" s="72">
        <f t="shared" ca="1" si="161"/>
        <v>115.77678081135846</v>
      </c>
    </row>
    <row r="374" spans="1:30">
      <c r="A374" s="118">
        <v>30903</v>
      </c>
      <c r="B374" s="101">
        <f t="shared" ca="1" si="135"/>
        <v>1584.7295320225667</v>
      </c>
      <c r="C374" s="102">
        <f t="shared" ca="1" si="136"/>
        <v>1.5701653042474157</v>
      </c>
      <c r="D374" s="102">
        <f t="shared" si="137"/>
        <v>41.078975211760159</v>
      </c>
      <c r="E374" s="103">
        <f t="shared" si="138"/>
        <v>1.5464505687114616</v>
      </c>
      <c r="F374" s="101">
        <f t="shared" si="139"/>
        <v>2330.0315185001823</v>
      </c>
      <c r="G374" s="104">
        <f t="shared" si="140"/>
        <v>1.5703671480379746</v>
      </c>
      <c r="H374" s="113">
        <f t="shared" si="141"/>
        <v>3.0794291976162826</v>
      </c>
      <c r="I374" s="114">
        <f t="shared" si="142"/>
        <v>1.2400642613316395</v>
      </c>
      <c r="J374" s="101">
        <f t="shared" si="143"/>
        <v>1.0001884907730172</v>
      </c>
      <c r="K374" s="104">
        <f t="shared" si="144"/>
        <v>1.941448791335974E-2</v>
      </c>
      <c r="L374" s="102">
        <f t="shared" si="145"/>
        <v>1</v>
      </c>
      <c r="M374" s="103">
        <f t="shared" si="146"/>
        <v>1.0193886954609752E-9</v>
      </c>
      <c r="N374" s="101">
        <f t="shared" si="147"/>
        <v>1</v>
      </c>
      <c r="O374" s="104">
        <f t="shared" si="148"/>
        <v>1.6310219127375601E-10</v>
      </c>
      <c r="P374" s="105">
        <f t="shared" ca="1" si="149"/>
        <v>1.9934858383772283</v>
      </c>
      <c r="Q374" s="106">
        <f t="shared" ca="1" si="150"/>
        <v>1.099851951347345</v>
      </c>
      <c r="R374" s="107">
        <f t="shared" ca="1" si="151"/>
        <v>-23.102292985208294</v>
      </c>
      <c r="S374" s="108">
        <f t="shared" ca="1" si="152"/>
        <v>-84.412958795408201</v>
      </c>
      <c r="T374" s="116">
        <f t="shared" ca="1" si="153"/>
        <v>95.587041204591799</v>
      </c>
      <c r="V374" s="72">
        <f t="shared" ca="1" si="154"/>
        <v>30903</v>
      </c>
      <c r="W374" s="72">
        <f t="shared" si="155"/>
        <v>954995409</v>
      </c>
      <c r="Y374" s="110">
        <f t="shared" si="156"/>
        <v>6.5029311458218109</v>
      </c>
      <c r="Z374" s="111">
        <f t="shared" si="157"/>
        <v>-20.037329561938428</v>
      </c>
      <c r="AA374" s="72">
        <f t="shared" si="158"/>
        <v>159.96267043806156</v>
      </c>
      <c r="AB374" s="110">
        <f t="shared" ca="1" si="159"/>
        <v>-13.687623784148604</v>
      </c>
      <c r="AC374" s="111">
        <f t="shared" ca="1" si="160"/>
        <v>-64.375629233469809</v>
      </c>
      <c r="AD374" s="72">
        <f t="shared" ca="1" si="161"/>
        <v>115.62437076653019</v>
      </c>
    </row>
    <row r="375" spans="1:30">
      <c r="A375" s="118">
        <v>31083</v>
      </c>
      <c r="B375" s="101">
        <f t="shared" ca="1" si="135"/>
        <v>1593.9600663560909</v>
      </c>
      <c r="C375" s="102">
        <f t="shared" ca="1" si="136"/>
        <v>1.5701689584644687</v>
      </c>
      <c r="D375" s="102">
        <f t="shared" si="137"/>
        <v>41.318105600863909</v>
      </c>
      <c r="E375" s="103">
        <f t="shared" si="138"/>
        <v>1.5465914984817439</v>
      </c>
      <c r="F375" s="101">
        <f t="shared" si="139"/>
        <v>2343.6031975055066</v>
      </c>
      <c r="G375" s="104">
        <f t="shared" si="140"/>
        <v>1.5703696333890296</v>
      </c>
      <c r="H375" s="113">
        <f t="shared" si="141"/>
        <v>3.0954793013759478</v>
      </c>
      <c r="I375" s="114">
        <f t="shared" si="142"/>
        <v>1.2418439569602659</v>
      </c>
      <c r="J375" s="101">
        <f t="shared" si="143"/>
        <v>1.0001906927538089</v>
      </c>
      <c r="K375" s="104">
        <f t="shared" si="144"/>
        <v>1.9527542376546976E-2</v>
      </c>
      <c r="L375" s="102">
        <f t="shared" si="145"/>
        <v>1</v>
      </c>
      <c r="M375" s="103">
        <f t="shared" si="146"/>
        <v>1.0253263055694752E-9</v>
      </c>
      <c r="N375" s="101">
        <f t="shared" si="147"/>
        <v>1</v>
      </c>
      <c r="O375" s="104">
        <f t="shared" si="148"/>
        <v>1.6405220889111601E-10</v>
      </c>
      <c r="P375" s="105">
        <f t="shared" ca="1" si="149"/>
        <v>2.0022086551246452</v>
      </c>
      <c r="Q375" s="106">
        <f t="shared" ca="1" si="150"/>
        <v>1.1026934130649642</v>
      </c>
      <c r="R375" s="107">
        <f t="shared" ca="1" si="151"/>
        <v>-23.145557499880638</v>
      </c>
      <c r="S375" s="108">
        <f t="shared" ca="1" si="152"/>
        <v>-84.472548144811327</v>
      </c>
      <c r="T375" s="116">
        <f t="shared" ca="1" si="153"/>
        <v>95.527451855188673</v>
      </c>
      <c r="V375" s="72">
        <f t="shared" ca="1" si="154"/>
        <v>31083</v>
      </c>
      <c r="W375" s="72">
        <f t="shared" si="155"/>
        <v>966152889</v>
      </c>
      <c r="Y375" s="110">
        <f t="shared" si="156"/>
        <v>6.4976199244622803</v>
      </c>
      <c r="Z375" s="111">
        <f t="shared" si="157"/>
        <v>-19.94198045692734</v>
      </c>
      <c r="AA375" s="72">
        <f t="shared" si="158"/>
        <v>160.05801954307265</v>
      </c>
      <c r="AB375" s="110">
        <f t="shared" ca="1" si="159"/>
        <v>-13.725577077461415</v>
      </c>
      <c r="AC375" s="111">
        <f t="shared" ca="1" si="160"/>
        <v>-64.53056768788403</v>
      </c>
      <c r="AD375" s="72">
        <f t="shared" ca="1" si="161"/>
        <v>115.46943231211597</v>
      </c>
    </row>
    <row r="376" spans="1:30">
      <c r="A376" s="118">
        <v>31263</v>
      </c>
      <c r="B376" s="101">
        <f t="shared" ca="1" si="135"/>
        <v>1603.1906007106543</v>
      </c>
      <c r="C376" s="102">
        <f t="shared" ca="1" si="136"/>
        <v>1.5701725706024625</v>
      </c>
      <c r="D376" s="102">
        <f t="shared" si="137"/>
        <v>41.557236801150637</v>
      </c>
      <c r="E376" s="103">
        <f t="shared" si="138"/>
        <v>1.5467308063613148</v>
      </c>
      <c r="F376" s="101">
        <f t="shared" si="139"/>
        <v>2357.1748765251405</v>
      </c>
      <c r="G376" s="104">
        <f t="shared" si="140"/>
        <v>1.5703720901207512</v>
      </c>
      <c r="H376" s="113">
        <f t="shared" si="141"/>
        <v>3.1115391083336155</v>
      </c>
      <c r="I376" s="114">
        <f t="shared" si="142"/>
        <v>1.2436052867817622</v>
      </c>
      <c r="J376" s="101">
        <f t="shared" si="143"/>
        <v>1.0001929075182934</v>
      </c>
      <c r="K376" s="104">
        <f t="shared" si="144"/>
        <v>1.9640596340497748E-2</v>
      </c>
      <c r="L376" s="102">
        <f t="shared" si="145"/>
        <v>1</v>
      </c>
      <c r="M376" s="103">
        <f t="shared" si="146"/>
        <v>1.0312639156779752E-9</v>
      </c>
      <c r="N376" s="101">
        <f t="shared" si="147"/>
        <v>1</v>
      </c>
      <c r="O376" s="104">
        <f t="shared" si="148"/>
        <v>1.6500222650847602E-10</v>
      </c>
      <c r="P376" s="105">
        <f t="shared" ca="1" si="149"/>
        <v>2.010944589767361</v>
      </c>
      <c r="Q376" s="106">
        <f t="shared" ca="1" si="150"/>
        <v>1.1055130812616405</v>
      </c>
      <c r="R376" s="107">
        <f t="shared" ca="1" si="151"/>
        <v>-23.188628559983574</v>
      </c>
      <c r="S376" s="108">
        <f t="shared" ca="1" si="152"/>
        <v>-84.532029948848503</v>
      </c>
      <c r="T376" s="116">
        <f t="shared" ca="1" si="153"/>
        <v>95.467970051151497</v>
      </c>
      <c r="V376" s="72">
        <f t="shared" ca="1" si="154"/>
        <v>31263</v>
      </c>
      <c r="W376" s="72">
        <f t="shared" si="155"/>
        <v>977375169</v>
      </c>
      <c r="Y376" s="110">
        <f t="shared" si="156"/>
        <v>6.49239344751674</v>
      </c>
      <c r="Z376" s="111">
        <f t="shared" si="157"/>
        <v>-19.847681966782197</v>
      </c>
      <c r="AA376" s="72">
        <f t="shared" si="158"/>
        <v>160.1523180332178</v>
      </c>
      <c r="AB376" s="110">
        <f t="shared" ca="1" si="159"/>
        <v>-13.763421660618807</v>
      </c>
      <c r="AC376" s="111">
        <f t="shared" ca="1" si="160"/>
        <v>-64.684347982066299</v>
      </c>
      <c r="AD376" s="72">
        <f t="shared" ca="1" si="161"/>
        <v>115.3156520179337</v>
      </c>
    </row>
    <row r="377" spans="1:30">
      <c r="A377" s="118">
        <v>31443</v>
      </c>
      <c r="B377" s="101">
        <f t="shared" ca="1" si="135"/>
        <v>1612.4211350858959</v>
      </c>
      <c r="C377" s="102">
        <f t="shared" ca="1" si="136"/>
        <v>1.57017614138406</v>
      </c>
      <c r="D377" s="102">
        <f t="shared" si="137"/>
        <v>41.796368798697195</v>
      </c>
      <c r="E377" s="103">
        <f t="shared" si="138"/>
        <v>1.5468685201829733</v>
      </c>
      <c r="F377" s="101">
        <f t="shared" si="139"/>
        <v>2370.7465555588387</v>
      </c>
      <c r="G377" s="104">
        <f t="shared" si="140"/>
        <v>1.5703745187246461</v>
      </c>
      <c r="H377" s="113">
        <f t="shared" si="141"/>
        <v>3.127608469015827</v>
      </c>
      <c r="I377" s="114">
        <f t="shared" si="142"/>
        <v>1.2453485228682895</v>
      </c>
      <c r="J377" s="101">
        <f t="shared" si="143"/>
        <v>1.0001951350663854</v>
      </c>
      <c r="K377" s="104">
        <f t="shared" si="144"/>
        <v>1.9753649802325458E-2</v>
      </c>
      <c r="L377" s="102">
        <f t="shared" si="145"/>
        <v>1</v>
      </c>
      <c r="M377" s="103">
        <f t="shared" si="146"/>
        <v>1.037201525786475E-9</v>
      </c>
      <c r="N377" s="101">
        <f t="shared" si="147"/>
        <v>1</v>
      </c>
      <c r="O377" s="104">
        <f t="shared" si="148"/>
        <v>1.65952244125836E-10</v>
      </c>
      <c r="P377" s="105">
        <f t="shared" ca="1" si="149"/>
        <v>2.0196934828875701</v>
      </c>
      <c r="Q377" s="106">
        <f t="shared" ca="1" si="150"/>
        <v>1.1083112063979512</v>
      </c>
      <c r="R377" s="107">
        <f t="shared" ca="1" si="151"/>
        <v>-23.231507957566567</v>
      </c>
      <c r="S377" s="108">
        <f t="shared" ca="1" si="152"/>
        <v>-84.591401443966561</v>
      </c>
      <c r="T377" s="116">
        <f t="shared" ca="1" si="153"/>
        <v>95.408598556033439</v>
      </c>
      <c r="V377" s="72">
        <f t="shared" ca="1" si="154"/>
        <v>31443</v>
      </c>
      <c r="W377" s="72">
        <f t="shared" si="155"/>
        <v>988662249</v>
      </c>
      <c r="Y377" s="110">
        <f t="shared" si="156"/>
        <v>6.4872499409048965</v>
      </c>
      <c r="Z377" s="111">
        <f t="shared" si="157"/>
        <v>-19.7544185309123</v>
      </c>
      <c r="AA377" s="72">
        <f t="shared" si="158"/>
        <v>160.24558146908771</v>
      </c>
      <c r="AB377" s="110">
        <f t="shared" ca="1" si="159"/>
        <v>-13.801157551589959</v>
      </c>
      <c r="AC377" s="111">
        <f t="shared" ca="1" si="160"/>
        <v>-64.836982913054243</v>
      </c>
      <c r="AD377" s="72">
        <f t="shared" ca="1" si="161"/>
        <v>115.16301708694576</v>
      </c>
    </row>
    <row r="378" spans="1:30">
      <c r="A378" s="118">
        <v>31623</v>
      </c>
      <c r="B378" s="101">
        <f t="shared" ca="1" si="135"/>
        <v>1621.6516694814627</v>
      </c>
      <c r="C378" s="102">
        <f t="shared" ca="1" si="136"/>
        <v>1.5701796715154697</v>
      </c>
      <c r="D378" s="102">
        <f t="shared" si="137"/>
        <v>42.035501579897193</v>
      </c>
      <c r="E378" s="103">
        <f t="shared" si="138"/>
        <v>1.5470046671464195</v>
      </c>
      <c r="F378" s="101">
        <f t="shared" si="139"/>
        <v>2384.3182346063604</v>
      </c>
      <c r="G378" s="104">
        <f t="shared" si="140"/>
        <v>1.5703769196810295</v>
      </c>
      <c r="H378" s="113">
        <f t="shared" si="141"/>
        <v>3.1436872369173208</v>
      </c>
      <c r="I378" s="114">
        <f t="shared" si="142"/>
        <v>1.2470739321706814</v>
      </c>
      <c r="J378" s="101">
        <f t="shared" si="143"/>
        <v>1.0001973753979996</v>
      </c>
      <c r="K378" s="104">
        <f t="shared" si="144"/>
        <v>1.9866702759143574E-2</v>
      </c>
      <c r="L378" s="102">
        <f t="shared" si="145"/>
        <v>1</v>
      </c>
      <c r="M378" s="103">
        <f t="shared" si="146"/>
        <v>1.043139135894975E-9</v>
      </c>
      <c r="N378" s="101">
        <f t="shared" si="147"/>
        <v>1</v>
      </c>
      <c r="O378" s="104">
        <f t="shared" si="148"/>
        <v>1.66902261743196E-10</v>
      </c>
      <c r="P378" s="105">
        <f t="shared" ca="1" si="149"/>
        <v>2.0284551776294983</v>
      </c>
      <c r="Q378" s="106">
        <f t="shared" ca="1" si="150"/>
        <v>1.111088035689372</v>
      </c>
      <c r="R378" s="107">
        <f t="shared" ca="1" si="151"/>
        <v>-23.274197454939788</v>
      </c>
      <c r="S378" s="108">
        <f t="shared" ca="1" si="152"/>
        <v>-84.650660008802149</v>
      </c>
      <c r="T378" s="116">
        <f t="shared" ca="1" si="153"/>
        <v>95.349339991197851</v>
      </c>
      <c r="V378" s="72">
        <f t="shared" ca="1" si="154"/>
        <v>31623</v>
      </c>
      <c r="W378" s="72">
        <f t="shared" si="155"/>
        <v>1000014129</v>
      </c>
      <c r="Y378" s="110">
        <f t="shared" si="156"/>
        <v>6.482187675895986</v>
      </c>
      <c r="Z378" s="111">
        <f t="shared" si="157"/>
        <v>-19.662174881516179</v>
      </c>
      <c r="AA378" s="72">
        <f t="shared" si="158"/>
        <v>160.33782511848381</v>
      </c>
      <c r="AB378" s="110">
        <f t="shared" ca="1" si="159"/>
        <v>-13.838784783954271</v>
      </c>
      <c r="AC378" s="111">
        <f t="shared" ca="1" si="160"/>
        <v>-64.988485127285969</v>
      </c>
      <c r="AD378" s="72">
        <f t="shared" ca="1" si="161"/>
        <v>115.01151487271403</v>
      </c>
    </row>
    <row r="379" spans="1:30">
      <c r="A379" s="118">
        <v>31807</v>
      </c>
      <c r="B379" s="101">
        <f t="shared" ca="1" si="135"/>
        <v>1631.0873268842461</v>
      </c>
      <c r="C379" s="102">
        <f t="shared" ca="1" si="136"/>
        <v>1.5701832387976056</v>
      </c>
      <c r="D379" s="102">
        <f t="shared" si="137"/>
        <v>42.279949219025148</v>
      </c>
      <c r="E379" s="103">
        <f t="shared" si="138"/>
        <v>1.5471422478015124</v>
      </c>
      <c r="F379" s="101">
        <f t="shared" si="139"/>
        <v>2398.1915065356484</v>
      </c>
      <c r="G379" s="104">
        <f t="shared" si="140"/>
        <v>1.5703793459048161</v>
      </c>
      <c r="H379" s="113">
        <f t="shared" si="141"/>
        <v>3.1601328843746135</v>
      </c>
      <c r="I379" s="114">
        <f t="shared" si="142"/>
        <v>1.2488195312066799</v>
      </c>
      <c r="J379" s="101">
        <f t="shared" si="143"/>
        <v>1.0001996787274674</v>
      </c>
      <c r="K379" s="104">
        <f t="shared" si="144"/>
        <v>1.9982267478917567E-2</v>
      </c>
      <c r="L379" s="102">
        <f t="shared" si="145"/>
        <v>1</v>
      </c>
      <c r="M379" s="103">
        <f t="shared" si="146"/>
        <v>1.0492086928947751E-9</v>
      </c>
      <c r="N379" s="101">
        <f t="shared" si="147"/>
        <v>1</v>
      </c>
      <c r="O379" s="104">
        <f t="shared" si="148"/>
        <v>1.6787339086316402E-10</v>
      </c>
      <c r="P379" s="105">
        <f t="shared" ca="1" si="149"/>
        <v>2.0374246475134981</v>
      </c>
      <c r="Q379" s="106">
        <f t="shared" ca="1" si="150"/>
        <v>1.1139048153857058</v>
      </c>
      <c r="R379" s="107">
        <f t="shared" ca="1" si="151"/>
        <v>-23.317641135414235</v>
      </c>
      <c r="S379" s="108">
        <f t="shared" ca="1" si="152"/>
        <v>-84.711116121930473</v>
      </c>
      <c r="T379" s="116">
        <f t="shared" ca="1" si="153"/>
        <v>95.288883878069527</v>
      </c>
      <c r="V379" s="72">
        <f t="shared" ca="1" si="154"/>
        <v>31807</v>
      </c>
      <c r="W379" s="72">
        <f t="shared" si="155"/>
        <v>1011685249</v>
      </c>
      <c r="Y379" s="110">
        <f t="shared" si="156"/>
        <v>6.477095131858718</v>
      </c>
      <c r="Z379" s="111">
        <f t="shared" si="157"/>
        <v>-19.568919806719482</v>
      </c>
      <c r="AA379" s="72">
        <f t="shared" si="158"/>
        <v>160.43108019328051</v>
      </c>
      <c r="AB379" s="110">
        <f t="shared" ca="1" si="159"/>
        <v>-13.877135920391446</v>
      </c>
      <c r="AC379" s="111">
        <f t="shared" ca="1" si="160"/>
        <v>-65.142196315210938</v>
      </c>
      <c r="AD379" s="72">
        <f t="shared" ca="1" si="161"/>
        <v>114.85780368478906</v>
      </c>
    </row>
    <row r="380" spans="1:30">
      <c r="A380" s="118">
        <v>31991</v>
      </c>
      <c r="B380" s="101">
        <f t="shared" ca="1" si="135"/>
        <v>1640.5229843075467</v>
      </c>
      <c r="C380" s="102">
        <f t="shared" ca="1" si="136"/>
        <v>1.5701867650444712</v>
      </c>
      <c r="D380" s="102">
        <f t="shared" si="137"/>
        <v>42.524397649245614</v>
      </c>
      <c r="E380" s="103">
        <f t="shared" si="138"/>
        <v>1.5472782467142261</v>
      </c>
      <c r="F380" s="101">
        <f t="shared" si="139"/>
        <v>2412.0647784788912</v>
      </c>
      <c r="G380" s="104">
        <f t="shared" si="140"/>
        <v>1.5703817442191845</v>
      </c>
      <c r="H380" s="113">
        <f t="shared" si="141"/>
        <v>3.1765880614019317</v>
      </c>
      <c r="I380" s="114">
        <f t="shared" si="142"/>
        <v>1.2505470505597529</v>
      </c>
      <c r="J380" s="101">
        <f t="shared" si="143"/>
        <v>1.000201995414745</v>
      </c>
      <c r="K380" s="104">
        <f t="shared" si="144"/>
        <v>2.0097831664888439E-2</v>
      </c>
      <c r="L380" s="102">
        <f t="shared" si="145"/>
        <v>1</v>
      </c>
      <c r="M380" s="103">
        <f t="shared" si="146"/>
        <v>1.0552782498945752E-9</v>
      </c>
      <c r="N380" s="101">
        <f t="shared" si="147"/>
        <v>1</v>
      </c>
      <c r="O380" s="104">
        <f t="shared" si="148"/>
        <v>1.6884451998313201E-10</v>
      </c>
      <c r="P380" s="105">
        <f t="shared" ca="1" si="149"/>
        <v>2.046407170848648</v>
      </c>
      <c r="Q380" s="106">
        <f t="shared" ca="1" si="150"/>
        <v>1.116699854417101</v>
      </c>
      <c r="R380" s="107">
        <f t="shared" ca="1" si="151"/>
        <v>-23.360890014247726</v>
      </c>
      <c r="S380" s="108">
        <f t="shared" ca="1" si="152"/>
        <v>-84.771449122578574</v>
      </c>
      <c r="T380" s="116">
        <f t="shared" ca="1" si="153"/>
        <v>95.228550877421426</v>
      </c>
      <c r="V380" s="72">
        <f t="shared" ca="1" si="154"/>
        <v>31991</v>
      </c>
      <c r="W380" s="72">
        <f t="shared" si="155"/>
        <v>1023424081</v>
      </c>
      <c r="Y380" s="110">
        <f t="shared" si="156"/>
        <v>6.4720839664990102</v>
      </c>
      <c r="Z380" s="111">
        <f t="shared" si="157"/>
        <v>-19.476698991773976</v>
      </c>
      <c r="AA380" s="72">
        <f t="shared" si="158"/>
        <v>160.52330100822601</v>
      </c>
      <c r="AB380" s="110">
        <f t="shared" ca="1" si="159"/>
        <v>-13.915373633865231</v>
      </c>
      <c r="AC380" s="111">
        <f t="shared" ca="1" si="160"/>
        <v>-65.294750130804601</v>
      </c>
      <c r="AD380" s="72">
        <f t="shared" ca="1" si="161"/>
        <v>114.7052498691954</v>
      </c>
    </row>
    <row r="381" spans="1:30">
      <c r="A381" s="118">
        <v>32175</v>
      </c>
      <c r="B381" s="101">
        <f t="shared" ca="1" si="135"/>
        <v>1649.9586417510134</v>
      </c>
      <c r="C381" s="102">
        <f t="shared" ca="1" si="136"/>
        <v>1.5701902509600745</v>
      </c>
      <c r="D381" s="102">
        <f t="shared" si="137"/>
        <v>42.768846856993939</v>
      </c>
      <c r="E381" s="103">
        <f t="shared" si="138"/>
        <v>1.5474126910012607</v>
      </c>
      <c r="F381" s="101">
        <f t="shared" si="139"/>
        <v>2425.9380504358492</v>
      </c>
      <c r="G381" s="104">
        <f t="shared" si="140"/>
        <v>1.5703841151029534</v>
      </c>
      <c r="H381" s="113">
        <f t="shared" si="141"/>
        <v>3.1930526206693277</v>
      </c>
      <c r="I381" s="114">
        <f t="shared" si="142"/>
        <v>1.2522567595150644</v>
      </c>
      <c r="J381" s="101">
        <f t="shared" si="143"/>
        <v>1.000204325459739</v>
      </c>
      <c r="K381" s="104">
        <f t="shared" si="144"/>
        <v>2.0213395313973179E-2</v>
      </c>
      <c r="L381" s="102">
        <f t="shared" si="145"/>
        <v>1</v>
      </c>
      <c r="M381" s="103">
        <f t="shared" si="146"/>
        <v>1.061347806894375E-9</v>
      </c>
      <c r="N381" s="101">
        <f t="shared" si="147"/>
        <v>1</v>
      </c>
      <c r="O381" s="104">
        <f t="shared" si="148"/>
        <v>1.698156491031E-10</v>
      </c>
      <c r="P381" s="105">
        <f t="shared" ca="1" si="149"/>
        <v>2.0554025880978402</v>
      </c>
      <c r="Q381" s="106">
        <f t="shared" ca="1" si="150"/>
        <v>1.1194734065823961</v>
      </c>
      <c r="R381" s="107">
        <f t="shared" ca="1" si="151"/>
        <v>-23.403945882758425</v>
      </c>
      <c r="S381" s="108">
        <f t="shared" ca="1" si="152"/>
        <v>-84.831656637367402</v>
      </c>
      <c r="T381" s="116">
        <f t="shared" ca="1" si="153"/>
        <v>95.168343362632598</v>
      </c>
      <c r="V381" s="72">
        <f t="shared" ca="1" si="154"/>
        <v>32175</v>
      </c>
      <c r="W381" s="72">
        <f t="shared" si="155"/>
        <v>1035230625</v>
      </c>
      <c r="Y381" s="110">
        <f t="shared" si="156"/>
        <v>6.4671524714990181</v>
      </c>
      <c r="Z381" s="111">
        <f t="shared" si="157"/>
        <v>-19.385497035033929</v>
      </c>
      <c r="AA381" s="72">
        <f t="shared" si="158"/>
        <v>160.61450296496608</v>
      </c>
      <c r="AB381" s="110">
        <f t="shared" ca="1" si="159"/>
        <v>-13.95349800737594</v>
      </c>
      <c r="AC381" s="111">
        <f t="shared" ca="1" si="160"/>
        <v>-65.446159602333481</v>
      </c>
      <c r="AD381" s="72">
        <f t="shared" ca="1" si="161"/>
        <v>114.55384039766652</v>
      </c>
    </row>
    <row r="382" spans="1:30">
      <c r="A382" s="118">
        <v>32359</v>
      </c>
      <c r="B382" s="101">
        <f t="shared" ca="1" si="135"/>
        <v>1659.3942992143018</v>
      </c>
      <c r="C382" s="102">
        <f t="shared" ca="1" si="136"/>
        <v>1.5701936972324106</v>
      </c>
      <c r="D382" s="102">
        <f t="shared" si="137"/>
        <v>43.013296829013811</v>
      </c>
      <c r="E382" s="103">
        <f t="shared" si="138"/>
        <v>1.5475456071631133</v>
      </c>
      <c r="F382" s="101">
        <f t="shared" si="139"/>
        <v>2439.8113224062886</v>
      </c>
      <c r="G382" s="104">
        <f t="shared" si="140"/>
        <v>1.5703864590240511</v>
      </c>
      <c r="H382" s="113">
        <f t="shared" si="141"/>
        <v>3.2095264177868597</v>
      </c>
      <c r="I382" s="114">
        <f t="shared" si="142"/>
        <v>1.2539489222502851</v>
      </c>
      <c r="J382" s="101">
        <f t="shared" si="143"/>
        <v>1.0002066688623568</v>
      </c>
      <c r="K382" s="104">
        <f t="shared" si="144"/>
        <v>2.032895842308885E-2</v>
      </c>
      <c r="L382" s="102">
        <f t="shared" si="145"/>
        <v>1</v>
      </c>
      <c r="M382" s="103">
        <f t="shared" si="146"/>
        <v>1.0674173638941751E-9</v>
      </c>
      <c r="N382" s="101">
        <f t="shared" si="147"/>
        <v>1</v>
      </c>
      <c r="O382" s="104">
        <f t="shared" si="148"/>
        <v>1.7078677822306802E-10</v>
      </c>
      <c r="P382" s="105">
        <f t="shared" ca="1" si="149"/>
        <v>2.0644107423276465</v>
      </c>
      <c r="Q382" s="106">
        <f t="shared" ca="1" si="150"/>
        <v>1.1222257223041354</v>
      </c>
      <c r="R382" s="107">
        <f t="shared" ca="1" si="151"/>
        <v>-23.446810503224583</v>
      </c>
      <c r="S382" s="108">
        <f t="shared" ca="1" si="152"/>
        <v>-84.891736425872452</v>
      </c>
      <c r="T382" s="116">
        <f t="shared" ca="1" si="153"/>
        <v>95.108263574127548</v>
      </c>
      <c r="V382" s="72">
        <f t="shared" ca="1" si="154"/>
        <v>32359</v>
      </c>
      <c r="W382" s="72">
        <f t="shared" si="155"/>
        <v>1047104881</v>
      </c>
      <c r="Y382" s="110">
        <f t="shared" si="156"/>
        <v>6.462298982354052</v>
      </c>
      <c r="Z382" s="111">
        <f t="shared" si="157"/>
        <v>-19.295298826867434</v>
      </c>
      <c r="AA382" s="72">
        <f t="shared" si="158"/>
        <v>160.70470117313258</v>
      </c>
      <c r="AB382" s="110">
        <f t="shared" ca="1" si="159"/>
        <v>-13.991509138697127</v>
      </c>
      <c r="AC382" s="111">
        <f t="shared" ca="1" si="160"/>
        <v>-65.596437599005043</v>
      </c>
      <c r="AD382" s="72">
        <f t="shared" ca="1" si="161"/>
        <v>114.40356240099496</v>
      </c>
    </row>
    <row r="383" spans="1:30">
      <c r="A383" s="118">
        <v>32547.5</v>
      </c>
      <c r="B383" s="101">
        <f t="shared" ca="1" si="135"/>
        <v>1669.0607200596669</v>
      </c>
      <c r="C383" s="102">
        <f t="shared" ca="1" si="136"/>
        <v>1.5701971873820464</v>
      </c>
      <c r="D383" s="102">
        <f t="shared" si="137"/>
        <v>43.263725976082185</v>
      </c>
      <c r="E383" s="103">
        <f t="shared" si="138"/>
        <v>1.5476802164257073</v>
      </c>
      <c r="F383" s="101">
        <f t="shared" si="139"/>
        <v>2454.023886368007</v>
      </c>
      <c r="G383" s="104">
        <f t="shared" si="140"/>
        <v>1.5703888327875113</v>
      </c>
      <c r="H383" s="113">
        <f t="shared" si="141"/>
        <v>3.2264125382498978</v>
      </c>
      <c r="I383" s="114">
        <f t="shared" si="142"/>
        <v>1.2556645451839008</v>
      </c>
      <c r="J383" s="101">
        <f t="shared" si="143"/>
        <v>1.0002090834279929</v>
      </c>
      <c r="K383" s="104">
        <f t="shared" si="144"/>
        <v>2.0447347240732727E-2</v>
      </c>
      <c r="L383" s="102">
        <f t="shared" si="145"/>
        <v>1</v>
      </c>
      <c r="M383" s="103">
        <f t="shared" si="146"/>
        <v>1.0736353611466876E-9</v>
      </c>
      <c r="N383" s="101">
        <f t="shared" si="147"/>
        <v>1</v>
      </c>
      <c r="O383" s="104">
        <f t="shared" si="148"/>
        <v>1.7178165778347E-10</v>
      </c>
      <c r="P383" s="105">
        <f t="shared" ca="1" si="149"/>
        <v>2.0736522513454037</v>
      </c>
      <c r="Q383" s="106">
        <f t="shared" ca="1" si="150"/>
        <v>1.1250235865404585</v>
      </c>
      <c r="R383" s="107">
        <f t="shared" ca="1" si="151"/>
        <v>-23.490526934718964</v>
      </c>
      <c r="S383" s="108">
        <f t="shared" ca="1" si="152"/>
        <v>-84.953150899137611</v>
      </c>
      <c r="T383" s="116">
        <f t="shared" ca="1" si="153"/>
        <v>95.046849100862389</v>
      </c>
      <c r="V383" s="72">
        <f t="shared" ca="1" si="154"/>
        <v>32547.5</v>
      </c>
      <c r="W383" s="72">
        <f t="shared" si="155"/>
        <v>1059339756.25</v>
      </c>
      <c r="Y383" s="110">
        <f t="shared" si="156"/>
        <v>6.457405989111078</v>
      </c>
      <c r="Z383" s="111">
        <f t="shared" si="157"/>
        <v>-19.203920059352093</v>
      </c>
      <c r="AA383" s="72">
        <f t="shared" si="158"/>
        <v>160.7960799406479</v>
      </c>
      <c r="AB383" s="110">
        <f t="shared" ca="1" si="159"/>
        <v>-14.030332576948535</v>
      </c>
      <c r="AC383" s="111">
        <f t="shared" ca="1" si="160"/>
        <v>-65.749230839785511</v>
      </c>
      <c r="AD383" s="72">
        <f t="shared" ca="1" si="161"/>
        <v>114.25076916021449</v>
      </c>
    </row>
    <row r="384" spans="1:30">
      <c r="A384" s="118">
        <v>32736</v>
      </c>
      <c r="B384" s="101">
        <f t="shared" ca="1" si="135"/>
        <v>1678.7271409251293</v>
      </c>
      <c r="C384" s="102">
        <f t="shared" ca="1" si="136"/>
        <v>1.5702006373378299</v>
      </c>
      <c r="D384" s="102">
        <f t="shared" si="137"/>
        <v>43.514155898051136</v>
      </c>
      <c r="E384" s="103">
        <f t="shared" si="138"/>
        <v>1.5478132763012351</v>
      </c>
      <c r="F384" s="101">
        <f t="shared" si="139"/>
        <v>2468.2364503433937</v>
      </c>
      <c r="G384" s="104">
        <f t="shared" si="140"/>
        <v>1.5703911792138299</v>
      </c>
      <c r="H384" s="113">
        <f t="shared" si="141"/>
        <v>3.2433080563108505</v>
      </c>
      <c r="I384" s="114">
        <f t="shared" si="142"/>
        <v>1.257362298519946</v>
      </c>
      <c r="J384" s="101">
        <f t="shared" si="143"/>
        <v>1.000211512012404</v>
      </c>
      <c r="K384" s="104">
        <f t="shared" si="144"/>
        <v>2.0565735485123044E-2</v>
      </c>
      <c r="L384" s="102">
        <f t="shared" si="145"/>
        <v>1</v>
      </c>
      <c r="M384" s="103">
        <f t="shared" si="146"/>
        <v>1.0798533583992002E-9</v>
      </c>
      <c r="N384" s="101">
        <f t="shared" si="147"/>
        <v>1</v>
      </c>
      <c r="O384" s="104">
        <f t="shared" si="148"/>
        <v>1.7277653734387202E-10</v>
      </c>
      <c r="P384" s="105">
        <f t="shared" ca="1" si="149"/>
        <v>2.0829068027073356</v>
      </c>
      <c r="Q384" s="106">
        <f t="shared" ca="1" si="150"/>
        <v>1.12779968428078</v>
      </c>
      <c r="R384" s="107">
        <f t="shared" ca="1" si="151"/>
        <v>-23.534046303486633</v>
      </c>
      <c r="S384" s="108">
        <f t="shared" ca="1" si="152"/>
        <v>-85.014426967823084</v>
      </c>
      <c r="T384" s="116">
        <f t="shared" ca="1" si="153"/>
        <v>94.985573032176916</v>
      </c>
      <c r="V384" s="72">
        <f t="shared" ca="1" si="154"/>
        <v>32736</v>
      </c>
      <c r="W384" s="72">
        <f t="shared" si="155"/>
        <v>1071645696</v>
      </c>
      <c r="Y384" s="110">
        <f t="shared" si="156"/>
        <v>6.4525914626343441</v>
      </c>
      <c r="Z384" s="111">
        <f t="shared" si="157"/>
        <v>-19.113563545212457</v>
      </c>
      <c r="AA384" s="72">
        <f t="shared" si="158"/>
        <v>160.88643645478754</v>
      </c>
      <c r="AB384" s="110">
        <f t="shared" ca="1" si="159"/>
        <v>-14.069037419239471</v>
      </c>
      <c r="AC384" s="111">
        <f t="shared" ca="1" si="160"/>
        <v>-65.900863422610641</v>
      </c>
      <c r="AD384" s="72">
        <f t="shared" ca="1" si="161"/>
        <v>114.09913657738936</v>
      </c>
    </row>
    <row r="385" spans="1:30">
      <c r="A385" s="118">
        <v>32924.5</v>
      </c>
      <c r="B385" s="101">
        <f t="shared" ca="1" si="135"/>
        <v>1688.393561810343</v>
      </c>
      <c r="C385" s="102">
        <f t="shared" ca="1" si="136"/>
        <v>1.5702040477901167</v>
      </c>
      <c r="D385" s="102">
        <f t="shared" si="137"/>
        <v>43.764586581618225</v>
      </c>
      <c r="E385" s="103">
        <f t="shared" si="138"/>
        <v>1.5479448133827549</v>
      </c>
      <c r="F385" s="101">
        <f t="shared" si="139"/>
        <v>2482.4490143322141</v>
      </c>
      <c r="G385" s="104">
        <f t="shared" si="140"/>
        <v>1.5703934987725399</v>
      </c>
      <c r="H385" s="113">
        <f t="shared" si="141"/>
        <v>3.2602128258651932</v>
      </c>
      <c r="I385" s="114">
        <f t="shared" si="142"/>
        <v>1.2590424503654127</v>
      </c>
      <c r="J385" s="101">
        <f t="shared" si="143"/>
        <v>1.0002139546154876</v>
      </c>
      <c r="K385" s="104">
        <f t="shared" si="144"/>
        <v>2.0684123152945388E-2</v>
      </c>
      <c r="L385" s="102">
        <f t="shared" si="145"/>
        <v>1</v>
      </c>
      <c r="M385" s="103">
        <f t="shared" si="146"/>
        <v>1.0860713556517125E-9</v>
      </c>
      <c r="N385" s="101">
        <f t="shared" si="147"/>
        <v>1</v>
      </c>
      <c r="O385" s="104">
        <f t="shared" si="148"/>
        <v>1.73771416904274E-10</v>
      </c>
      <c r="P385" s="105">
        <f t="shared" ca="1" si="149"/>
        <v>2.09217423587822</v>
      </c>
      <c r="Q385" s="106">
        <f t="shared" ca="1" si="150"/>
        <v>1.1305542740263876</v>
      </c>
      <c r="R385" s="107">
        <f t="shared" ca="1" si="151"/>
        <v>-23.577370414534631</v>
      </c>
      <c r="S385" s="108">
        <f t="shared" ca="1" si="152"/>
        <v>-85.075562624159446</v>
      </c>
      <c r="T385" s="116">
        <f t="shared" ca="1" si="153"/>
        <v>94.924437375840554</v>
      </c>
      <c r="V385" s="72">
        <f t="shared" ca="1" si="154"/>
        <v>32924.5</v>
      </c>
      <c r="W385" s="72">
        <f t="shared" si="155"/>
        <v>1084022700.25</v>
      </c>
      <c r="Y385" s="110">
        <f t="shared" si="156"/>
        <v>6.4478537478284101</v>
      </c>
      <c r="Z385" s="111">
        <f t="shared" si="157"/>
        <v>-19.024213949761766</v>
      </c>
      <c r="AA385" s="72">
        <f t="shared" si="158"/>
        <v>160.97578605023824</v>
      </c>
      <c r="AB385" s="110">
        <f t="shared" ca="1" si="159"/>
        <v>-14.107623815481539</v>
      </c>
      <c r="AC385" s="111">
        <f t="shared" ca="1" si="160"/>
        <v>-66.051348674397659</v>
      </c>
      <c r="AD385" s="72">
        <f t="shared" ca="1" si="161"/>
        <v>113.94865132560234</v>
      </c>
    </row>
    <row r="386" spans="1:30">
      <c r="A386" s="118">
        <v>33113</v>
      </c>
      <c r="B386" s="101">
        <f t="shared" ca="1" si="135"/>
        <v>1698.0599827149715</v>
      </c>
      <c r="C386" s="102">
        <f t="shared" ca="1" si="136"/>
        <v>1.5702074194135431</v>
      </c>
      <c r="D386" s="102">
        <f t="shared" si="137"/>
        <v>44.015018013783759</v>
      </c>
      <c r="E386" s="103">
        <f t="shared" si="138"/>
        <v>1.548074853658314</v>
      </c>
      <c r="F386" s="101">
        <f t="shared" si="139"/>
        <v>2496.661578334239</v>
      </c>
      <c r="G386" s="104">
        <f t="shared" si="140"/>
        <v>1.5703957919224831</v>
      </c>
      <c r="H386" s="113">
        <f t="shared" si="141"/>
        <v>3.2771267037438867</v>
      </c>
      <c r="I386" s="114">
        <f t="shared" si="142"/>
        <v>1.2607052636943452</v>
      </c>
      <c r="J386" s="101">
        <f t="shared" si="143"/>
        <v>1.0002164112371414</v>
      </c>
      <c r="K386" s="104">
        <f t="shared" si="144"/>
        <v>2.0802510240885426E-2</v>
      </c>
      <c r="L386" s="102">
        <f t="shared" si="145"/>
        <v>1</v>
      </c>
      <c r="M386" s="103">
        <f t="shared" si="146"/>
        <v>1.0922893529042251E-9</v>
      </c>
      <c r="N386" s="101">
        <f t="shared" si="147"/>
        <v>1</v>
      </c>
      <c r="O386" s="104">
        <f t="shared" si="148"/>
        <v>1.7476629646467601E-10</v>
      </c>
      <c r="P386" s="105">
        <f t="shared" ca="1" si="149"/>
        <v>2.101454392987903</v>
      </c>
      <c r="Q386" s="106">
        <f t="shared" ca="1" si="150"/>
        <v>1.1332876107454841</v>
      </c>
      <c r="R386" s="107">
        <f t="shared" ca="1" si="151"/>
        <v>-23.62050104419593</v>
      </c>
      <c r="S386" s="108">
        <f t="shared" ca="1" si="152"/>
        <v>-85.136555985193809</v>
      </c>
      <c r="T386" s="116">
        <f t="shared" ca="1" si="153"/>
        <v>94.863444014806191</v>
      </c>
      <c r="V386" s="72">
        <f t="shared" ca="1" si="154"/>
        <v>33113</v>
      </c>
      <c r="W386" s="72">
        <f t="shared" si="155"/>
        <v>1096470769</v>
      </c>
      <c r="Y386" s="110">
        <f t="shared" si="156"/>
        <v>6.4431912322714773</v>
      </c>
      <c r="Z386" s="111">
        <f t="shared" si="157"/>
        <v>-18.935856231796965</v>
      </c>
      <c r="AA386" s="72">
        <f t="shared" si="158"/>
        <v>161.06414376820302</v>
      </c>
      <c r="AB386" s="110">
        <f t="shared" ca="1" si="159"/>
        <v>-14.146091929585902</v>
      </c>
      <c r="AC386" s="111">
        <f t="shared" ca="1" si="160"/>
        <v>-66.200699753396862</v>
      </c>
      <c r="AD386" s="72">
        <f t="shared" ca="1" si="161"/>
        <v>113.79930024660314</v>
      </c>
    </row>
    <row r="387" spans="1:30">
      <c r="A387" s="118">
        <v>33305.75</v>
      </c>
      <c r="B387" s="101">
        <f t="shared" ca="1" si="135"/>
        <v>1707.9443468162276</v>
      </c>
      <c r="C387" s="102">
        <f t="shared" ca="1" si="136"/>
        <v>1.5702108275899611</v>
      </c>
      <c r="D387" s="102">
        <f t="shared" si="137"/>
        <v>44.271096538844724</v>
      </c>
      <c r="E387" s="103">
        <f t="shared" si="138"/>
        <v>1.5482063045282453</v>
      </c>
      <c r="F387" s="101">
        <f t="shared" si="139"/>
        <v>2511.1945847741335</v>
      </c>
      <c r="G387" s="104">
        <f t="shared" si="140"/>
        <v>1.5703981099332911</v>
      </c>
      <c r="H387" s="113">
        <f t="shared" si="141"/>
        <v>3.2944312015218702</v>
      </c>
      <c r="I387" s="114">
        <f t="shared" si="142"/>
        <v>1.262387906927168</v>
      </c>
      <c r="J387" s="101">
        <f t="shared" si="143"/>
        <v>1.0002189377429449</v>
      </c>
      <c r="K387" s="104">
        <f t="shared" si="144"/>
        <v>2.0923565930631969E-2</v>
      </c>
      <c r="L387" s="102">
        <f t="shared" si="145"/>
        <v>1</v>
      </c>
      <c r="M387" s="103">
        <f t="shared" si="146"/>
        <v>1.0986475437287438E-9</v>
      </c>
      <c r="N387" s="101">
        <f t="shared" si="147"/>
        <v>1</v>
      </c>
      <c r="O387" s="104">
        <f t="shared" si="148"/>
        <v>1.75783606996599E-10</v>
      </c>
      <c r="P387" s="105">
        <f t="shared" ca="1" si="149"/>
        <v>2.1109567801652704</v>
      </c>
      <c r="Q387" s="106">
        <f t="shared" ca="1" si="150"/>
        <v>1.1360608592065411</v>
      </c>
      <c r="R387" s="107">
        <f t="shared" ca="1" si="151"/>
        <v>-23.664405862499205</v>
      </c>
      <c r="S387" s="108">
        <f t="shared" ca="1" si="152"/>
        <v>-85.198775548060539</v>
      </c>
      <c r="T387" s="116">
        <f t="shared" ca="1" si="153"/>
        <v>94.801224451939461</v>
      </c>
      <c r="V387" s="72">
        <f t="shared" ca="1" si="154"/>
        <v>33305.75</v>
      </c>
      <c r="W387" s="72">
        <f t="shared" si="155"/>
        <v>1109272983.0625</v>
      </c>
      <c r="Y387" s="110">
        <f t="shared" si="156"/>
        <v>6.4384997187127766</v>
      </c>
      <c r="Z387" s="111">
        <f t="shared" si="157"/>
        <v>-18.846516668066556</v>
      </c>
      <c r="AA387" s="72">
        <f t="shared" si="158"/>
        <v>161.15348333193344</v>
      </c>
      <c r="AB387" s="110">
        <f t="shared" ca="1" si="159"/>
        <v>-14.185305234330478</v>
      </c>
      <c r="AC387" s="111">
        <f t="shared" ca="1" si="160"/>
        <v>-66.352258879993968</v>
      </c>
      <c r="AD387" s="72">
        <f t="shared" ca="1" si="161"/>
        <v>113.64774112000603</v>
      </c>
    </row>
    <row r="388" spans="1:30">
      <c r="A388" s="118">
        <v>33498.5</v>
      </c>
      <c r="B388" s="101">
        <f t="shared" ca="1" si="135"/>
        <v>1717.8287109370938</v>
      </c>
      <c r="C388" s="102">
        <f t="shared" ca="1" si="136"/>
        <v>1.5702141965451735</v>
      </c>
      <c r="D388" s="102">
        <f t="shared" si="137"/>
        <v>44.527175820081787</v>
      </c>
      <c r="E388" s="103">
        <f t="shared" si="138"/>
        <v>1.5483362434318702</v>
      </c>
      <c r="F388" s="101">
        <f t="shared" si="139"/>
        <v>2525.7275912273662</v>
      </c>
      <c r="G388" s="104">
        <f t="shared" si="140"/>
        <v>1.5704004012684862</v>
      </c>
      <c r="H388" s="113">
        <f t="shared" si="141"/>
        <v>3.3117449292931269</v>
      </c>
      <c r="I388" s="114">
        <f t="shared" si="142"/>
        <v>1.2640529611915432</v>
      </c>
      <c r="J388" s="101">
        <f t="shared" si="143"/>
        <v>1.0002214789063626</v>
      </c>
      <c r="K388" s="104">
        <f t="shared" si="144"/>
        <v>2.1044621007044156E-2</v>
      </c>
      <c r="L388" s="102">
        <f t="shared" si="145"/>
        <v>1</v>
      </c>
      <c r="M388" s="103">
        <f t="shared" si="146"/>
        <v>1.1050057345532625E-9</v>
      </c>
      <c r="N388" s="101">
        <f t="shared" si="147"/>
        <v>1</v>
      </c>
      <c r="O388" s="104">
        <f t="shared" si="148"/>
        <v>1.7680091752852202E-10</v>
      </c>
      <c r="P388" s="105">
        <f t="shared" ca="1" si="149"/>
        <v>2.1204721459668159</v>
      </c>
      <c r="Q388" s="106">
        <f t="shared" ca="1" si="150"/>
        <v>1.1388124135722979</v>
      </c>
      <c r="R388" s="107">
        <f t="shared" ca="1" si="151"/>
        <v>-23.708112044464933</v>
      </c>
      <c r="S388" s="108">
        <f t="shared" ca="1" si="152"/>
        <v>-85.260842723021028</v>
      </c>
      <c r="T388" s="116">
        <f t="shared" ca="1" si="153"/>
        <v>94.739157276978972</v>
      </c>
      <c r="V388" s="72">
        <f t="shared" ca="1" si="154"/>
        <v>33498.5</v>
      </c>
      <c r="W388" s="72">
        <f t="shared" si="155"/>
        <v>1122149502.25</v>
      </c>
      <c r="Y388" s="110">
        <f t="shared" si="156"/>
        <v>6.4338835547120095</v>
      </c>
      <c r="Z388" s="111">
        <f t="shared" si="157"/>
        <v>-18.758183314453845</v>
      </c>
      <c r="AA388" s="72">
        <f t="shared" si="158"/>
        <v>161.24181668554615</v>
      </c>
      <c r="AB388" s="110">
        <f t="shared" ca="1" si="159"/>
        <v>-14.224395252295439</v>
      </c>
      <c r="AC388" s="111">
        <f t="shared" ca="1" si="160"/>
        <v>-66.50265940856724</v>
      </c>
      <c r="AD388" s="72">
        <f t="shared" ca="1" si="161"/>
        <v>113.49734059143276</v>
      </c>
    </row>
    <row r="389" spans="1:30">
      <c r="A389" s="118">
        <v>33691.25</v>
      </c>
      <c r="B389" s="101">
        <f t="shared" ca="1" si="135"/>
        <v>1727.7130750772344</v>
      </c>
      <c r="C389" s="102">
        <f t="shared" ca="1" si="136"/>
        <v>1.5702175269523417</v>
      </c>
      <c r="D389" s="102">
        <f t="shared" si="137"/>
        <v>44.783255844523062</v>
      </c>
      <c r="E389" s="103">
        <f t="shared" si="138"/>
        <v>1.5484646963019817</v>
      </c>
      <c r="F389" s="101">
        <f t="shared" si="139"/>
        <v>2540.2605976937075</v>
      </c>
      <c r="G389" s="104">
        <f t="shared" si="140"/>
        <v>1.5704026663859072</v>
      </c>
      <c r="H389" s="113">
        <f t="shared" si="141"/>
        <v>3.3290677430483426</v>
      </c>
      <c r="I389" s="114">
        <f t="shared" si="142"/>
        <v>1.2657006917550835</v>
      </c>
      <c r="J389" s="101">
        <f t="shared" si="143"/>
        <v>1.0002240347272828</v>
      </c>
      <c r="K389" s="104">
        <f t="shared" si="144"/>
        <v>2.1165675466578712E-2</v>
      </c>
      <c r="L389" s="102">
        <f t="shared" si="145"/>
        <v>1</v>
      </c>
      <c r="M389" s="103">
        <f t="shared" si="146"/>
        <v>1.1113639253777814E-9</v>
      </c>
      <c r="N389" s="101">
        <f t="shared" si="147"/>
        <v>1</v>
      </c>
      <c r="O389" s="104">
        <f t="shared" si="148"/>
        <v>1.7781822806044501E-10</v>
      </c>
      <c r="P389" s="105">
        <f t="shared" ca="1" si="149"/>
        <v>2.1300003299299739</v>
      </c>
      <c r="Q389" s="106">
        <f t="shared" ca="1" si="150"/>
        <v>1.1415425352911079</v>
      </c>
      <c r="R389" s="107">
        <f t="shared" ca="1" si="151"/>
        <v>-23.751621401150622</v>
      </c>
      <c r="S389" s="108">
        <f t="shared" ca="1" si="152"/>
        <v>-85.322755870007015</v>
      </c>
      <c r="T389" s="116">
        <f t="shared" ca="1" si="153"/>
        <v>94.677244129992985</v>
      </c>
      <c r="V389" s="72">
        <f t="shared" ca="1" si="154"/>
        <v>33691.25</v>
      </c>
      <c r="W389" s="72">
        <f t="shared" si="155"/>
        <v>1135100326.5625</v>
      </c>
      <c r="Y389" s="110">
        <f t="shared" si="156"/>
        <v>6.4293411464558243</v>
      </c>
      <c r="Z389" s="111">
        <f t="shared" si="157"/>
        <v>-18.670840998273349</v>
      </c>
      <c r="AA389" s="72">
        <f t="shared" si="158"/>
        <v>161.32915900172665</v>
      </c>
      <c r="AB389" s="110">
        <f t="shared" ca="1" si="159"/>
        <v>-14.263362200724943</v>
      </c>
      <c r="AC389" s="111">
        <f t="shared" ca="1" si="160"/>
        <v>-66.651914871733666</v>
      </c>
      <c r="AD389" s="72">
        <f t="shared" ca="1" si="161"/>
        <v>113.34808512826633</v>
      </c>
    </row>
    <row r="390" spans="1:30">
      <c r="A390" s="118">
        <v>33884</v>
      </c>
      <c r="B390" s="101">
        <f t="shared" ca="1" si="135"/>
        <v>1737.5974392363198</v>
      </c>
      <c r="C390" s="102">
        <f t="shared" ca="1" si="136"/>
        <v>1.5702208194693097</v>
      </c>
      <c r="D390" s="102">
        <f t="shared" si="137"/>
        <v>45.039336599491655</v>
      </c>
      <c r="E390" s="103">
        <f t="shared" si="138"/>
        <v>1.5485916884817854</v>
      </c>
      <c r="F390" s="101">
        <f t="shared" si="139"/>
        <v>2554.7936041729336</v>
      </c>
      <c r="G390" s="104">
        <f t="shared" si="140"/>
        <v>1.5704049057329754</v>
      </c>
      <c r="H390" s="113">
        <f t="shared" si="141"/>
        <v>3.3463995016852928</v>
      </c>
      <c r="I390" s="114">
        <f t="shared" si="142"/>
        <v>1.2673313587704891</v>
      </c>
      <c r="J390" s="101">
        <f t="shared" si="143"/>
        <v>1.0002266052055933</v>
      </c>
      <c r="K390" s="104">
        <f t="shared" si="144"/>
        <v>2.1286729305692472E-2</v>
      </c>
      <c r="L390" s="102">
        <f t="shared" si="145"/>
        <v>1</v>
      </c>
      <c r="M390" s="103">
        <f t="shared" si="146"/>
        <v>1.1177221162023001E-9</v>
      </c>
      <c r="N390" s="101">
        <f t="shared" si="147"/>
        <v>1</v>
      </c>
      <c r="O390" s="104">
        <f t="shared" si="148"/>
        <v>1.7883553859236802E-10</v>
      </c>
      <c r="P390" s="105">
        <f t="shared" ca="1" si="149"/>
        <v>2.1395411742956805</v>
      </c>
      <c r="Q390" s="106">
        <f t="shared" ca="1" si="150"/>
        <v>1.1442514821520142</v>
      </c>
      <c r="R390" s="107">
        <f t="shared" ca="1" si="151"/>
        <v>-23.79493571544208</v>
      </c>
      <c r="S390" s="108">
        <f t="shared" ca="1" si="152"/>
        <v>-85.384513464656024</v>
      </c>
      <c r="T390" s="116">
        <f t="shared" ca="1" si="153"/>
        <v>94.615486535343976</v>
      </c>
      <c r="V390" s="72">
        <f t="shared" ca="1" si="154"/>
        <v>33884</v>
      </c>
      <c r="W390" s="72">
        <f t="shared" si="155"/>
        <v>1148125456</v>
      </c>
      <c r="Y390" s="110">
        <f t="shared" si="156"/>
        <v>6.4248709413600142</v>
      </c>
      <c r="Z390" s="111">
        <f t="shared" si="157"/>
        <v>-18.58447483930566</v>
      </c>
      <c r="AA390" s="72">
        <f t="shared" si="158"/>
        <v>161.41552516069433</v>
      </c>
      <c r="AB390" s="110">
        <f t="shared" ca="1" si="159"/>
        <v>-14.30220630992059</v>
      </c>
      <c r="AC390" s="111">
        <f t="shared" ca="1" si="160"/>
        <v>-66.80003862535041</v>
      </c>
      <c r="AD390" s="72">
        <f t="shared" ca="1" si="161"/>
        <v>113.19996137464959</v>
      </c>
    </row>
    <row r="391" spans="1:30">
      <c r="A391" s="118">
        <v>34081.5</v>
      </c>
      <c r="B391" s="101">
        <f t="shared" ca="1" si="135"/>
        <v>1747.7253869672786</v>
      </c>
      <c r="C391" s="102">
        <f t="shared" ca="1" si="136"/>
        <v>1.5702241544948199</v>
      </c>
      <c r="D391" s="102">
        <f t="shared" si="137"/>
        <v>45.301728779341055</v>
      </c>
      <c r="E391" s="103">
        <f t="shared" si="138"/>
        <v>1.5487203209432108</v>
      </c>
      <c r="F391" s="101">
        <f t="shared" si="139"/>
        <v>2569.6847521998047</v>
      </c>
      <c r="G391" s="104">
        <f t="shared" si="140"/>
        <v>1.5704071739914705</v>
      </c>
      <c r="H391" s="113">
        <f t="shared" si="141"/>
        <v>3.3641675060685912</v>
      </c>
      <c r="I391" s="114">
        <f t="shared" si="142"/>
        <v>1.2689847781595278</v>
      </c>
      <c r="J391" s="101">
        <f t="shared" si="143"/>
        <v>1.000229254232557</v>
      </c>
      <c r="K391" s="104">
        <f t="shared" si="144"/>
        <v>2.1410765666096392E-2</v>
      </c>
      <c r="L391" s="102">
        <f t="shared" si="145"/>
        <v>1</v>
      </c>
      <c r="M391" s="103">
        <f t="shared" si="146"/>
        <v>1.1242369939602377E-9</v>
      </c>
      <c r="N391" s="101">
        <f t="shared" si="147"/>
        <v>1</v>
      </c>
      <c r="O391" s="104">
        <f t="shared" si="148"/>
        <v>1.7987791903363802E-10</v>
      </c>
      <c r="P391" s="105">
        <f t="shared" ca="1" si="149"/>
        <v>2.1493301067925006</v>
      </c>
      <c r="Q391" s="106">
        <f t="shared" ca="1" si="150"/>
        <v>1.1470054882384277</v>
      </c>
      <c r="R391" s="107">
        <f t="shared" ca="1" si="151"/>
        <v>-23.839116962551209</v>
      </c>
      <c r="S391" s="108">
        <f t="shared" ca="1" si="152"/>
        <v>-85.447630144496614</v>
      </c>
      <c r="T391" s="116">
        <f t="shared" ca="1" si="153"/>
        <v>94.552369855503386</v>
      </c>
      <c r="V391" s="72">
        <f t="shared" ca="1" si="154"/>
        <v>34081.5</v>
      </c>
      <c r="W391" s="72">
        <f t="shared" si="155"/>
        <v>1161548642.25</v>
      </c>
      <c r="Y391" s="110">
        <f t="shared" si="156"/>
        <v>6.4203638880215994</v>
      </c>
      <c r="Z391" s="111">
        <f t="shared" si="157"/>
        <v>-18.496977607731036</v>
      </c>
      <c r="AA391" s="72">
        <f t="shared" si="158"/>
        <v>161.50302239226897</v>
      </c>
      <c r="AB391" s="110">
        <f t="shared" ca="1" si="159"/>
        <v>-14.341880503691304</v>
      </c>
      <c r="AC391" s="111">
        <f t="shared" ca="1" si="160"/>
        <v>-66.950652536765588</v>
      </c>
      <c r="AD391" s="72">
        <f t="shared" ca="1" si="161"/>
        <v>113.04934746323441</v>
      </c>
    </row>
    <row r="392" spans="1:30">
      <c r="A392" s="118">
        <v>34279</v>
      </c>
      <c r="B392" s="101">
        <f t="shared" ca="1" si="135"/>
        <v>1757.8533347174528</v>
      </c>
      <c r="C392" s="102">
        <f t="shared" ca="1" si="136"/>
        <v>1.5702274510905436</v>
      </c>
      <c r="D392" s="102">
        <f t="shared" si="137"/>
        <v>45.564121700133647</v>
      </c>
      <c r="E392" s="103">
        <f t="shared" si="138"/>
        <v>1.548847471879325</v>
      </c>
      <c r="F392" s="101">
        <f t="shared" si="139"/>
        <v>2584.5759002397444</v>
      </c>
      <c r="G392" s="104">
        <f t="shared" si="140"/>
        <v>1.570409416112623</v>
      </c>
      <c r="H392" s="113">
        <f t="shared" si="141"/>
        <v>3.3819446107463644</v>
      </c>
      <c r="I392" s="114">
        <f t="shared" si="142"/>
        <v>1.2706208196692736</v>
      </c>
      <c r="J392" s="101">
        <f t="shared" si="143"/>
        <v>1.0002319186479849</v>
      </c>
      <c r="K392" s="104">
        <f t="shared" si="144"/>
        <v>2.1534801367593063E-2</v>
      </c>
      <c r="L392" s="102">
        <f t="shared" si="145"/>
        <v>1</v>
      </c>
      <c r="M392" s="103">
        <f t="shared" si="146"/>
        <v>1.130751871718175E-9</v>
      </c>
      <c r="N392" s="101">
        <f t="shared" si="147"/>
        <v>1</v>
      </c>
      <c r="O392" s="104">
        <f t="shared" si="148"/>
        <v>1.8092029947490802E-10</v>
      </c>
      <c r="P392" s="105">
        <f t="shared" ca="1" si="149"/>
        <v>2.1591320045119193</v>
      </c>
      <c r="Q392" s="106">
        <f t="shared" ca="1" si="150"/>
        <v>1.1497377993805451</v>
      </c>
      <c r="R392" s="107">
        <f t="shared" ca="1" si="151"/>
        <v>-23.883097138083297</v>
      </c>
      <c r="S392" s="108">
        <f t="shared" ca="1" si="152"/>
        <v>-85.510580622703358</v>
      </c>
      <c r="T392" s="116">
        <f t="shared" ca="1" si="153"/>
        <v>94.489419377296642</v>
      </c>
      <c r="V392" s="72">
        <f t="shared" ca="1" si="154"/>
        <v>34279</v>
      </c>
      <c r="W392" s="72">
        <f t="shared" si="155"/>
        <v>1175049841</v>
      </c>
      <c r="Y392" s="110">
        <f t="shared" si="156"/>
        <v>6.4159294674171523</v>
      </c>
      <c r="Z392" s="111">
        <f t="shared" si="157"/>
        <v>-18.41047451998589</v>
      </c>
      <c r="AA392" s="72">
        <f t="shared" si="158"/>
        <v>161.58952548001412</v>
      </c>
      <c r="AB392" s="110">
        <f t="shared" ca="1" si="159"/>
        <v>-14.381426258618944</v>
      </c>
      <c r="AC392" s="111">
        <f t="shared" ca="1" si="160"/>
        <v>-67.10010610271749</v>
      </c>
      <c r="AD392" s="72">
        <f t="shared" ca="1" si="161"/>
        <v>112.89989389728251</v>
      </c>
    </row>
    <row r="393" spans="1:30">
      <c r="A393" s="118">
        <v>34476.5</v>
      </c>
      <c r="B393" s="101">
        <f t="shared" ca="1" si="135"/>
        <v>1767.9812824865114</v>
      </c>
      <c r="C393" s="102">
        <f t="shared" ca="1" si="136"/>
        <v>1.5702307099169204</v>
      </c>
      <c r="D393" s="102">
        <f t="shared" si="137"/>
        <v>45.826515349141999</v>
      </c>
      <c r="E393" s="103">
        <f t="shared" si="138"/>
        <v>1.5489731667347519</v>
      </c>
      <c r="F393" s="101">
        <f t="shared" si="139"/>
        <v>2599.4670482925271</v>
      </c>
      <c r="G393" s="104">
        <f t="shared" si="140"/>
        <v>1.570411632545619</v>
      </c>
      <c r="H393" s="113">
        <f t="shared" si="141"/>
        <v>3.3997306729629941</v>
      </c>
      <c r="I393" s="114">
        <f t="shared" si="142"/>
        <v>1.2722397472150162</v>
      </c>
      <c r="J393" s="101">
        <f t="shared" si="143"/>
        <v>1.000234598451754</v>
      </c>
      <c r="K393" s="104">
        <f t="shared" si="144"/>
        <v>2.1658836406371226E-2</v>
      </c>
      <c r="L393" s="102">
        <f t="shared" si="145"/>
        <v>1</v>
      </c>
      <c r="M393" s="103">
        <f t="shared" si="146"/>
        <v>1.1372667494761125E-9</v>
      </c>
      <c r="N393" s="101">
        <f t="shared" si="147"/>
        <v>1</v>
      </c>
      <c r="O393" s="104">
        <f t="shared" si="148"/>
        <v>1.8196267991617802E-10</v>
      </c>
      <c r="P393" s="105">
        <f t="shared" ca="1" si="149"/>
        <v>2.1689467062450531</v>
      </c>
      <c r="Q393" s="106">
        <f t="shared" ca="1" si="150"/>
        <v>1.1524486812756083</v>
      </c>
      <c r="R393" s="107">
        <f t="shared" ca="1" si="151"/>
        <v>-23.926878072663694</v>
      </c>
      <c r="S393" s="108">
        <f t="shared" ca="1" si="152"/>
        <v>-85.57336360686368</v>
      </c>
      <c r="T393" s="116">
        <f t="shared" ca="1" si="153"/>
        <v>94.42663639313632</v>
      </c>
      <c r="V393" s="72">
        <f t="shared" ca="1" si="154"/>
        <v>34476.5</v>
      </c>
      <c r="W393" s="72">
        <f t="shared" si="155"/>
        <v>1188629052.25</v>
      </c>
      <c r="Y393" s="110">
        <f t="shared" si="156"/>
        <v>6.4115661359404417</v>
      </c>
      <c r="Z393" s="111">
        <f t="shared" si="157"/>
        <v>-18.324950480356065</v>
      </c>
      <c r="AA393" s="72">
        <f t="shared" si="158"/>
        <v>161.67504951964395</v>
      </c>
      <c r="AB393" s="110">
        <f t="shared" ca="1" si="159"/>
        <v>-14.420843861722631</v>
      </c>
      <c r="AC393" s="111">
        <f t="shared" ca="1" si="160"/>
        <v>-67.248413126507586</v>
      </c>
      <c r="AD393" s="72">
        <f t="shared" ca="1" si="161"/>
        <v>112.75158687349241</v>
      </c>
    </row>
    <row r="394" spans="1:30">
      <c r="A394" s="118">
        <v>34674</v>
      </c>
      <c r="B394" s="101">
        <f t="shared" ca="1" si="135"/>
        <v>1778.1092302741317</v>
      </c>
      <c r="C394" s="102">
        <f t="shared" ca="1" si="136"/>
        <v>1.5702339316193423</v>
      </c>
      <c r="D394" s="102">
        <f t="shared" si="137"/>
        <v>46.088909713928459</v>
      </c>
      <c r="E394" s="103">
        <f t="shared" si="138"/>
        <v>1.5490974303748546</v>
      </c>
      <c r="F394" s="101">
        <f t="shared" si="139"/>
        <v>2614.3581963579354</v>
      </c>
      <c r="G394" s="104">
        <f t="shared" si="140"/>
        <v>1.5704138237294107</v>
      </c>
      <c r="H394" s="113">
        <f t="shared" si="141"/>
        <v>3.4175255528634851</v>
      </c>
      <c r="I394" s="114">
        <f t="shared" si="142"/>
        <v>1.2738418195782746</v>
      </c>
      <c r="J394" s="101">
        <f t="shared" si="143"/>
        <v>1.0002372936437405</v>
      </c>
      <c r="K394" s="104">
        <f t="shared" si="144"/>
        <v>2.1782870778619744E-2</v>
      </c>
      <c r="L394" s="102">
        <f t="shared" si="145"/>
        <v>1</v>
      </c>
      <c r="M394" s="103">
        <f t="shared" si="146"/>
        <v>1.1437816272340501E-9</v>
      </c>
      <c r="N394" s="101">
        <f t="shared" si="147"/>
        <v>1</v>
      </c>
      <c r="O394" s="104">
        <f t="shared" si="148"/>
        <v>1.8300506035744802E-10</v>
      </c>
      <c r="P394" s="105">
        <f t="shared" ca="1" si="149"/>
        <v>2.1787740535439593</v>
      </c>
      <c r="Q394" s="106">
        <f t="shared" ca="1" si="150"/>
        <v>1.1551383958098915</v>
      </c>
      <c r="R394" s="107">
        <f t="shared" ca="1" si="151"/>
        <v>-23.97046156894152</v>
      </c>
      <c r="S394" s="108">
        <f t="shared" ca="1" si="152"/>
        <v>-85.635977912096422</v>
      </c>
      <c r="T394" s="116">
        <f t="shared" ca="1" si="153"/>
        <v>94.364022087903578</v>
      </c>
      <c r="V394" s="72">
        <f t="shared" ca="1" si="154"/>
        <v>34674</v>
      </c>
      <c r="W394" s="72">
        <f t="shared" si="155"/>
        <v>1202286276</v>
      </c>
      <c r="Y394" s="110">
        <f t="shared" si="156"/>
        <v>6.4072723901219399</v>
      </c>
      <c r="Z394" s="111">
        <f t="shared" si="157"/>
        <v>-18.240390686684439</v>
      </c>
      <c r="AA394" s="72">
        <f t="shared" si="158"/>
        <v>161.75960931331556</v>
      </c>
      <c r="AB394" s="110">
        <f t="shared" ca="1" si="159"/>
        <v>-14.460133612181956</v>
      </c>
      <c r="AC394" s="111">
        <f t="shared" ca="1" si="160"/>
        <v>-67.395587225412015</v>
      </c>
      <c r="AD394" s="72">
        <f t="shared" ca="1" si="161"/>
        <v>112.60441277458798</v>
      </c>
    </row>
    <row r="395" spans="1:30">
      <c r="A395" s="118">
        <v>34875.75</v>
      </c>
      <c r="B395" s="101">
        <f t="shared" ca="1" si="135"/>
        <v>1788.4551212608299</v>
      </c>
      <c r="C395" s="102">
        <f t="shared" ca="1" si="136"/>
        <v>1.570237184974552</v>
      </c>
      <c r="D395" s="102">
        <f t="shared" si="137"/>
        <v>46.356951266137656</v>
      </c>
      <c r="E395" s="103">
        <f t="shared" si="138"/>
        <v>1.5492229155679762</v>
      </c>
      <c r="F395" s="101">
        <f t="shared" si="139"/>
        <v>2629.5697868628795</v>
      </c>
      <c r="G395" s="104">
        <f t="shared" si="140"/>
        <v>1.5704160364412809</v>
      </c>
      <c r="H395" s="113">
        <f t="shared" si="141"/>
        <v>3.4357123224263137</v>
      </c>
      <c r="I395" s="114">
        <f t="shared" si="142"/>
        <v>1.2754612276406962</v>
      </c>
      <c r="J395" s="101">
        <f t="shared" si="143"/>
        <v>1.0002400627218886</v>
      </c>
      <c r="K395" s="104">
        <f t="shared" si="144"/>
        <v>2.1909573552792948E-2</v>
      </c>
      <c r="L395" s="102">
        <f t="shared" si="145"/>
        <v>1</v>
      </c>
      <c r="M395" s="103">
        <f t="shared" si="146"/>
        <v>1.1504366985639938E-9</v>
      </c>
      <c r="N395" s="101">
        <f t="shared" si="147"/>
        <v>1</v>
      </c>
      <c r="O395" s="104">
        <f t="shared" si="148"/>
        <v>1.84069871770239E-10</v>
      </c>
      <c r="P395" s="105">
        <f t="shared" ca="1" si="149"/>
        <v>2.1888257701369751</v>
      </c>
      <c r="Q395" s="106">
        <f t="shared" ca="1" si="150"/>
        <v>1.1578644031784242</v>
      </c>
      <c r="R395" s="107">
        <f t="shared" ca="1" si="151"/>
        <v>-24.014780926997123</v>
      </c>
      <c r="S395" s="108">
        <f t="shared" ca="1" si="152"/>
        <v>-85.699764326530925</v>
      </c>
      <c r="T395" s="116">
        <f t="shared" ca="1" si="153"/>
        <v>94.300235673469075</v>
      </c>
      <c r="V395" s="72">
        <f t="shared" ca="1" si="154"/>
        <v>34875.75</v>
      </c>
      <c r="W395" s="72">
        <f t="shared" si="155"/>
        <v>1216317938.0625</v>
      </c>
      <c r="Y395" s="110">
        <f t="shared" si="156"/>
        <v>6.4029565723221307</v>
      </c>
      <c r="Z395" s="111">
        <f t="shared" si="157"/>
        <v>-18.154991752244502</v>
      </c>
      <c r="AA395" s="72">
        <f t="shared" si="158"/>
        <v>161.84500824775549</v>
      </c>
      <c r="AB395" s="110">
        <f t="shared" ca="1" si="159"/>
        <v>-14.500137152437746</v>
      </c>
      <c r="AC395" s="111">
        <f t="shared" ca="1" si="160"/>
        <v>-67.544772574286483</v>
      </c>
      <c r="AD395" s="72">
        <f t="shared" ca="1" si="161"/>
        <v>112.45522742571352</v>
      </c>
    </row>
    <row r="396" spans="1:30">
      <c r="A396" s="118">
        <v>35077.5</v>
      </c>
      <c r="B396" s="101">
        <f t="shared" ca="1" si="135"/>
        <v>1798.8010122662397</v>
      </c>
      <c r="C396" s="102">
        <f t="shared" ca="1" si="136"/>
        <v>1.570240400906102</v>
      </c>
      <c r="D396" s="102">
        <f t="shared" si="137"/>
        <v>46.624993539915209</v>
      </c>
      <c r="E396" s="103">
        <f t="shared" si="138"/>
        <v>1.5493469579601948</v>
      </c>
      <c r="F396" s="101">
        <f t="shared" si="139"/>
        <v>2644.7813773805501</v>
      </c>
      <c r="G396" s="104">
        <f t="shared" si="140"/>
        <v>1.5704182237001079</v>
      </c>
      <c r="H396" s="113">
        <f t="shared" si="141"/>
        <v>3.4539080071843435</v>
      </c>
      <c r="I396" s="114">
        <f t="shared" si="142"/>
        <v>1.277063577318694</v>
      </c>
      <c r="J396" s="101">
        <f t="shared" si="143"/>
        <v>1.0002428478573944</v>
      </c>
      <c r="K396" s="104">
        <f t="shared" si="144"/>
        <v>2.203627562340273E-2</v>
      </c>
      <c r="L396" s="102">
        <f t="shared" si="145"/>
        <v>1</v>
      </c>
      <c r="M396" s="103">
        <f t="shared" si="146"/>
        <v>1.1570917698939377E-9</v>
      </c>
      <c r="N396" s="101">
        <f t="shared" si="147"/>
        <v>1</v>
      </c>
      <c r="O396" s="104">
        <f t="shared" si="148"/>
        <v>1.8513468318303E-10</v>
      </c>
      <c r="P396" s="105">
        <f t="shared" ca="1" si="149"/>
        <v>2.1988903567365967</v>
      </c>
      <c r="Q396" s="106">
        <f t="shared" ca="1" si="150"/>
        <v>1.16056886289769</v>
      </c>
      <c r="R396" s="107">
        <f t="shared" ca="1" si="151"/>
        <v>-24.058897974329909</v>
      </c>
      <c r="S396" s="108">
        <f t="shared" ca="1" si="152"/>
        <v>-85.763372548558181</v>
      </c>
      <c r="T396" s="116">
        <f t="shared" ca="1" si="153"/>
        <v>94.236627451441819</v>
      </c>
      <c r="V396" s="72">
        <f t="shared" ca="1" si="154"/>
        <v>35077.5</v>
      </c>
      <c r="W396" s="72">
        <f t="shared" si="155"/>
        <v>1230431006.25</v>
      </c>
      <c r="Y396" s="110">
        <f t="shared" si="156"/>
        <v>6.3987103185740422</v>
      </c>
      <c r="Z396" s="111">
        <f t="shared" si="157"/>
        <v>-18.070568692575304</v>
      </c>
      <c r="AA396" s="72">
        <f t="shared" si="158"/>
        <v>161.92943130742469</v>
      </c>
      <c r="AB396" s="110">
        <f t="shared" ca="1" si="159"/>
        <v>-14.540007946022451</v>
      </c>
      <c r="AC396" s="111">
        <f t="shared" ca="1" si="160"/>
        <v>-67.692803855982874</v>
      </c>
      <c r="AD396" s="72">
        <f t="shared" ca="1" si="161"/>
        <v>112.30719614401713</v>
      </c>
    </row>
    <row r="397" spans="1:30">
      <c r="A397" s="118">
        <v>35279.25</v>
      </c>
      <c r="B397" s="101">
        <f t="shared" ca="1" si="135"/>
        <v>1809.1469032900404</v>
      </c>
      <c r="C397" s="102">
        <f t="shared" ca="1" si="136"/>
        <v>1.5702435800560315</v>
      </c>
      <c r="D397" s="102">
        <f t="shared" si="137"/>
        <v>46.893036522887606</v>
      </c>
      <c r="E397" s="103">
        <f t="shared" si="138"/>
        <v>1.5494695822890305</v>
      </c>
      <c r="F397" s="101">
        <f t="shared" si="139"/>
        <v>2659.9929679107286</v>
      </c>
      <c r="G397" s="104">
        <f t="shared" si="140"/>
        <v>1.5704203859425641</v>
      </c>
      <c r="H397" s="113">
        <f t="shared" si="141"/>
        <v>3.4721124669767245</v>
      </c>
      <c r="I397" s="114">
        <f t="shared" si="142"/>
        <v>1.278649128632702</v>
      </c>
      <c r="J397" s="101">
        <f t="shared" si="143"/>
        <v>1.0002456490501239</v>
      </c>
      <c r="K397" s="104">
        <f t="shared" si="144"/>
        <v>2.2162976986386976E-2</v>
      </c>
      <c r="L397" s="102">
        <f t="shared" si="145"/>
        <v>1</v>
      </c>
      <c r="M397" s="103">
        <f t="shared" si="146"/>
        <v>1.1637468412238814E-9</v>
      </c>
      <c r="N397" s="101">
        <f t="shared" si="147"/>
        <v>1</v>
      </c>
      <c r="O397" s="104">
        <f t="shared" si="148"/>
        <v>1.8619949459582101E-10</v>
      </c>
      <c r="P397" s="105">
        <f t="shared" ca="1" si="149"/>
        <v>2.2089676530293989</v>
      </c>
      <c r="Q397" s="106">
        <f t="shared" ca="1" si="150"/>
        <v>1.163252042165833</v>
      </c>
      <c r="R397" s="107">
        <f t="shared" ca="1" si="151"/>
        <v>-24.102814546560587</v>
      </c>
      <c r="S397" s="108">
        <f t="shared" ca="1" si="152"/>
        <v>-85.826801633647918</v>
      </c>
      <c r="T397" s="116">
        <f t="shared" ca="1" si="153"/>
        <v>94.173198366352082</v>
      </c>
      <c r="V397" s="72">
        <f t="shared" ca="1" si="154"/>
        <v>35279.25</v>
      </c>
      <c r="W397" s="72">
        <f t="shared" si="155"/>
        <v>1244625480.5625</v>
      </c>
      <c r="Y397" s="110">
        <f t="shared" si="156"/>
        <v>6.3945321481560535</v>
      </c>
      <c r="Z397" s="111">
        <f t="shared" si="157"/>
        <v>-17.987106634390134</v>
      </c>
      <c r="AA397" s="72">
        <f t="shared" si="158"/>
        <v>162.01289336560987</v>
      </c>
      <c r="AB397" s="110">
        <f t="shared" ca="1" si="159"/>
        <v>-14.57974634783514</v>
      </c>
      <c r="AC397" s="111">
        <f t="shared" ca="1" si="160"/>
        <v>-67.839694999257816</v>
      </c>
      <c r="AD397" s="72">
        <f t="shared" ca="1" si="161"/>
        <v>112.16030500074218</v>
      </c>
    </row>
    <row r="398" spans="1:30">
      <c r="A398" s="118">
        <v>35481</v>
      </c>
      <c r="B398" s="101">
        <f t="shared" ref="B398:B461" ca="1" si="162">SQRT(1+(A398/Pole1)^2)</f>
        <v>1819.4927943319183</v>
      </c>
      <c r="C398" s="102">
        <f t="shared" ref="C398:C461" ca="1" si="163">ATAN(A398/Pole1)</f>
        <v>1.5702467230517769</v>
      </c>
      <c r="D398" s="102">
        <f t="shared" ref="D398:D461" si="164">SQRT(1+(A398/Zero1)^2)</f>
        <v>47.161080202962573</v>
      </c>
      <c r="E398" s="103">
        <f t="shared" ref="E398:E461" si="165">ATAN(A398/Zero1)</f>
        <v>1.549590812729785</v>
      </c>
      <c r="F398" s="101">
        <f t="shared" ref="F398:F461" si="166">SQRT(1+(A398/Pole2)^2)</f>
        <v>2675.2045584532025</v>
      </c>
      <c r="G398" s="104">
        <f t="shared" ref="G398:G461" si="167">ATAN(A398/Pole2)</f>
        <v>1.5704225235953886</v>
      </c>
      <c r="H398" s="113">
        <f t="shared" ref="H398:H461" si="168">SQRT(1+(A398/Zero2)^2)</f>
        <v>3.4903255644998561</v>
      </c>
      <c r="I398" s="114">
        <f t="shared" ref="I398:I461" si="169">ATAN(A398/Zero2)</f>
        <v>1.2802181365176168</v>
      </c>
      <c r="J398" s="101">
        <f t="shared" ref="J398:J461" si="170">SQRT(1+(A398/pole4)^2)</f>
        <v>1.0002484662999422</v>
      </c>
      <c r="K398" s="104">
        <f t="shared" ref="K398:K461" si="171">ATAN(A398/pole4)</f>
        <v>2.2289677637683726E-2</v>
      </c>
      <c r="L398" s="102">
        <f t="shared" ref="L398:L461" si="172">SQRT(1+(A398/Zerofeed)^2)</f>
        <v>1</v>
      </c>
      <c r="M398" s="103">
        <f t="shared" ref="M398:M461" si="173">ATAN(A398/Zerofeed)</f>
        <v>1.1704019125538251E-9</v>
      </c>
      <c r="N398" s="101">
        <f t="shared" ref="N398:N461" si="174">SQRT(1+(A398/Polefeed)^2)</f>
        <v>1</v>
      </c>
      <c r="O398" s="104">
        <f t="shared" ref="O398:O461" si="175">ATAN(A398/Polefeed)</f>
        <v>1.8726430600861201E-10</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-24.146532451793583</v>
      </c>
      <c r="S398" s="108">
        <f t="shared" ref="S398:S461" ca="1" si="179">((E398+I398+M398)-(C398+G398+Q398+K398+O398))*radconv</f>
        <v>-85.890050735383028</v>
      </c>
      <c r="T398" s="116">
        <f t="shared" ref="T398:T461" ca="1" si="180">IF(S398&gt;0,S398,S398+180)</f>
        <v>94.109949264616972</v>
      </c>
      <c r="V398" s="72">
        <f t="shared" ref="V398:V461" ca="1" si="181">IF(R398&lt;0,A398,1000000000)</f>
        <v>35481</v>
      </c>
      <c r="W398" s="72">
        <f t="shared" ref="W398:W461" si="182">A398^2</f>
        <v>1258901361</v>
      </c>
      <c r="Y398" s="110">
        <f t="shared" ref="Y398:Y461" si="183">20*LOG10(((H398*L398)/(F398*J398*N398))*Aea)</f>
        <v>6.3904206189250186</v>
      </c>
      <c r="Z398" s="111">
        <f t="shared" ref="Z398:Z461" si="184">(I398+M398-(G398+K398+O398))*radconv</f>
        <v>-17.904590995212946</v>
      </c>
      <c r="AA398" s="72">
        <f t="shared" ref="AA398:AA461" si="185">IF(Z398&gt;0,Z398,Z398+180)</f>
        <v>162.09540900478706</v>
      </c>
      <c r="AB398" s="110">
        <f t="shared" ref="AB398:AB461" ca="1" si="186">20*LOG10((D398/(B398*P398))*Acs*Am)</f>
        <v>-14.619352723837093</v>
      </c>
      <c r="AC398" s="111">
        <f t="shared" ref="AC398:AC461" ca="1" si="187">(E398-(C398+Q398))*radconv</f>
        <v>-67.985459740170086</v>
      </c>
      <c r="AD398" s="72">
        <f t="shared" ref="AD398:AD461" ca="1" si="188">IF(AC398&gt;0,AC398,AC398+180)</f>
        <v>112.01454025982991</v>
      </c>
    </row>
    <row r="399" spans="1:30">
      <c r="A399" s="118">
        <v>35687.75</v>
      </c>
      <c r="B399" s="101">
        <f t="shared" ca="1" si="162"/>
        <v>1830.0950891355233</v>
      </c>
      <c r="C399" s="102">
        <f t="shared" ca="1" si="163"/>
        <v>1.5702499070729385</v>
      </c>
      <c r="D399" s="102">
        <f t="shared" si="164"/>
        <v>47.43576755995624</v>
      </c>
      <c r="E399" s="103">
        <f t="shared" si="165"/>
        <v>1.5497136262225586</v>
      </c>
      <c r="F399" s="101">
        <f t="shared" si="166"/>
        <v>2690.793140099725</v>
      </c>
      <c r="G399" s="104">
        <f t="shared" si="167"/>
        <v>1.5704246891509186</v>
      </c>
      <c r="H399" s="113">
        <f t="shared" si="168"/>
        <v>3.5089988606990294</v>
      </c>
      <c r="I399" s="114">
        <f t="shared" si="169"/>
        <v>1.2818091272979073</v>
      </c>
      <c r="J399" s="101">
        <f t="shared" si="170"/>
        <v>1.000251370028874</v>
      </c>
      <c r="K399" s="104">
        <f t="shared" si="171"/>
        <v>2.2419517587293068E-2</v>
      </c>
      <c r="L399" s="102">
        <f t="shared" si="172"/>
        <v>1</v>
      </c>
      <c r="M399" s="103">
        <f t="shared" si="173"/>
        <v>1.1772219174978939E-9</v>
      </c>
      <c r="N399" s="101">
        <f t="shared" si="174"/>
        <v>1</v>
      </c>
      <c r="O399" s="104">
        <f t="shared" si="175"/>
        <v>1.8835550679966301E-10</v>
      </c>
      <c r="P399" s="105">
        <f t="shared" ca="1" si="176"/>
        <v>2.2294102688624018</v>
      </c>
      <c r="Q399" s="106">
        <f t="shared" ca="1" si="177"/>
        <v>1.1686208095633515</v>
      </c>
      <c r="R399" s="107">
        <f t="shared" ca="1" si="178"/>
        <v>-24.19112957404672</v>
      </c>
      <c r="S399" s="108">
        <f t="shared" ca="1" si="179"/>
        <v>-85.954679832769031</v>
      </c>
      <c r="T399" s="116">
        <f t="shared" ca="1" si="180"/>
        <v>94.045320167230969</v>
      </c>
      <c r="V399" s="72">
        <f t="shared" ca="1" si="181"/>
        <v>35687.75</v>
      </c>
      <c r="W399" s="72">
        <f t="shared" si="182"/>
        <v>1273615500.0625</v>
      </c>
      <c r="Y399" s="110">
        <f t="shared" si="183"/>
        <v>6.3862748628749353</v>
      </c>
      <c r="Z399" s="111">
        <f t="shared" si="184"/>
        <v>-17.820997296151308</v>
      </c>
      <c r="AA399" s="72">
        <f t="shared" si="185"/>
        <v>162.17900270384868</v>
      </c>
      <c r="AB399" s="110">
        <f t="shared" ca="1" si="186"/>
        <v>-14.659804090040149</v>
      </c>
      <c r="AC399" s="111">
        <f t="shared" ca="1" si="187"/>
        <v>-68.133682536617741</v>
      </c>
      <c r="AD399" s="72">
        <f t="shared" ca="1" si="188"/>
        <v>111.86631746338226</v>
      </c>
    </row>
    <row r="400" spans="1:30">
      <c r="A400" s="118">
        <v>35894.5</v>
      </c>
      <c r="B400" s="101">
        <f t="shared" ca="1" si="162"/>
        <v>1840.6973839574678</v>
      </c>
      <c r="C400" s="102">
        <f t="shared" ca="1" si="163"/>
        <v>1.5702530544145987</v>
      </c>
      <c r="D400" s="102">
        <f t="shared" si="164"/>
        <v>47.710455624192292</v>
      </c>
      <c r="E400" s="103">
        <f t="shared" si="165"/>
        <v>1.5498350255449207</v>
      </c>
      <c r="F400" s="101">
        <f t="shared" si="166"/>
        <v>2706.3817217587202</v>
      </c>
      <c r="G400" s="104">
        <f t="shared" si="167"/>
        <v>1.5704268297595321</v>
      </c>
      <c r="H400" s="113">
        <f t="shared" si="168"/>
        <v>3.5276809450113822</v>
      </c>
      <c r="I400" s="114">
        <f t="shared" si="169"/>
        <v>1.2833832707169237</v>
      </c>
      <c r="J400" s="101">
        <f t="shared" si="170"/>
        <v>1.000254290620358</v>
      </c>
      <c r="K400" s="104">
        <f t="shared" si="171"/>
        <v>2.2549356780865188E-2</v>
      </c>
      <c r="L400" s="102">
        <f t="shared" si="172"/>
        <v>1</v>
      </c>
      <c r="M400" s="103">
        <f t="shared" si="173"/>
        <v>1.1840419224419625E-9</v>
      </c>
      <c r="N400" s="101">
        <f t="shared" si="174"/>
        <v>1</v>
      </c>
      <c r="O400" s="104">
        <f t="shared" si="175"/>
        <v>1.8944670759071402E-10</v>
      </c>
      <c r="P400" s="105">
        <f t="shared" ca="1" si="176"/>
        <v>2.2397758920272319</v>
      </c>
      <c r="Q400" s="106">
        <f t="shared" ca="1" si="177"/>
        <v>1.1713058905515055</v>
      </c>
      <c r="R400" s="107">
        <f t="shared" ca="1" si="178"/>
        <v>-24.235521819118585</v>
      </c>
      <c r="S400" s="108">
        <f t="shared" ca="1" si="179"/>
        <v>-86.019118412761486</v>
      </c>
      <c r="T400" s="116">
        <f t="shared" ca="1" si="180"/>
        <v>93.980881587238514</v>
      </c>
      <c r="V400" s="72">
        <f t="shared" ca="1" si="181"/>
        <v>35894.5</v>
      </c>
      <c r="W400" s="72">
        <f t="shared" si="182"/>
        <v>1288415130.25</v>
      </c>
      <c r="Y400" s="110">
        <f t="shared" si="183"/>
        <v>6.3821961447039497</v>
      </c>
      <c r="Z400" s="111">
        <f t="shared" si="184"/>
        <v>-17.738367407116925</v>
      </c>
      <c r="AA400" s="72">
        <f t="shared" si="185"/>
        <v>162.26163259288307</v>
      </c>
      <c r="AB400" s="110">
        <f t="shared" ca="1" si="186"/>
        <v>-14.700117616941029</v>
      </c>
      <c r="AC400" s="111">
        <f t="shared" ca="1" si="187"/>
        <v>-68.280751005644532</v>
      </c>
      <c r="AD400" s="72">
        <f t="shared" ca="1" si="188"/>
        <v>111.71924899435547</v>
      </c>
    </row>
    <row r="401" spans="1:30">
      <c r="A401" s="118">
        <v>36101.25</v>
      </c>
      <c r="B401" s="101">
        <f t="shared" ca="1" si="162"/>
        <v>1851.2996787974371</v>
      </c>
      <c r="C401" s="102">
        <f t="shared" ca="1" si="163"/>
        <v>1.570256165706942</v>
      </c>
      <c r="D401" s="102">
        <f t="shared" si="164"/>
        <v>47.985144383525032</v>
      </c>
      <c r="E401" s="103">
        <f t="shared" si="165"/>
        <v>1.5499550349793232</v>
      </c>
      <c r="F401" s="101">
        <f t="shared" si="166"/>
        <v>2721.970303429975</v>
      </c>
      <c r="G401" s="104">
        <f t="shared" si="167"/>
        <v>1.5704289458498384</v>
      </c>
      <c r="H401" s="113">
        <f t="shared" si="168"/>
        <v>3.5463716785510755</v>
      </c>
      <c r="I401" s="114">
        <f t="shared" si="169"/>
        <v>1.2849408252872712</v>
      </c>
      <c r="J401" s="101">
        <f t="shared" si="170"/>
        <v>1.0002572280742463</v>
      </c>
      <c r="K401" s="104">
        <f t="shared" si="171"/>
        <v>2.2679195214029016E-2</v>
      </c>
      <c r="L401" s="102">
        <f t="shared" si="172"/>
        <v>1</v>
      </c>
      <c r="M401" s="103">
        <f t="shared" si="173"/>
        <v>1.1908619273860314E-9</v>
      </c>
      <c r="N401" s="101">
        <f t="shared" si="174"/>
        <v>1</v>
      </c>
      <c r="O401" s="104">
        <f t="shared" si="175"/>
        <v>1.90537908381765E-10</v>
      </c>
      <c r="P401" s="105">
        <f t="shared" ca="1" si="176"/>
        <v>2.2501542101811105</v>
      </c>
      <c r="Q401" s="106">
        <f t="shared" ca="1" si="177"/>
        <v>1.173969718188721</v>
      </c>
      <c r="R401" s="107">
        <f t="shared" ca="1" si="178"/>
        <v>-24.279711047331055</v>
      </c>
      <c r="S401" s="108">
        <f t="shared" ca="1" si="179"/>
        <v>-86.083365857336787</v>
      </c>
      <c r="T401" s="116">
        <f t="shared" ca="1" si="180"/>
        <v>93.916634142663213</v>
      </c>
      <c r="V401" s="72">
        <f t="shared" ca="1" si="181"/>
        <v>36101.25</v>
      </c>
      <c r="W401" s="72">
        <f t="shared" si="182"/>
        <v>1303300251.5625</v>
      </c>
      <c r="Y401" s="110">
        <f t="shared" si="183"/>
        <v>6.3781830308341823</v>
      </c>
      <c r="Z401" s="111">
        <f t="shared" si="184"/>
        <v>-17.656686540735635</v>
      </c>
      <c r="AA401" s="72">
        <f t="shared" si="185"/>
        <v>162.34331345926438</v>
      </c>
      <c r="AB401" s="110">
        <f t="shared" ca="1" si="186"/>
        <v>-14.740293731283732</v>
      </c>
      <c r="AC401" s="111">
        <f t="shared" ca="1" si="187"/>
        <v>-68.426679316601138</v>
      </c>
      <c r="AD401" s="72">
        <f t="shared" ca="1" si="188"/>
        <v>111.57332068339886</v>
      </c>
    </row>
    <row r="402" spans="1:30">
      <c r="A402" s="118">
        <v>36308</v>
      </c>
      <c r="B402" s="101">
        <f t="shared" ca="1" si="162"/>
        <v>1861.9019736551229</v>
      </c>
      <c r="C402" s="102">
        <f t="shared" ca="1" si="163"/>
        <v>1.5702592415657997</v>
      </c>
      <c r="D402" s="102">
        <f t="shared" si="164"/>
        <v>48.259833826085249</v>
      </c>
      <c r="E402" s="103">
        <f t="shared" si="165"/>
        <v>1.550073678255528</v>
      </c>
      <c r="F402" s="101">
        <f t="shared" si="166"/>
        <v>2737.5588851132798</v>
      </c>
      <c r="G402" s="104">
        <f t="shared" si="167"/>
        <v>1.5704310378406836</v>
      </c>
      <c r="H402" s="113">
        <f t="shared" si="168"/>
        <v>3.5650709252812076</v>
      </c>
      <c r="I402" s="114">
        <f t="shared" si="169"/>
        <v>1.2864820444235612</v>
      </c>
      <c r="J402" s="101">
        <f t="shared" si="170"/>
        <v>1.0002601823903905</v>
      </c>
      <c r="K402" s="104">
        <f t="shared" si="171"/>
        <v>2.2809032882413632E-2</v>
      </c>
      <c r="L402" s="102">
        <f t="shared" si="172"/>
        <v>1</v>
      </c>
      <c r="M402" s="103">
        <f t="shared" si="173"/>
        <v>1.1976819323301E-9</v>
      </c>
      <c r="N402" s="101">
        <f t="shared" si="174"/>
        <v>1</v>
      </c>
      <c r="O402" s="104">
        <f t="shared" si="175"/>
        <v>1.9162910917281601E-10</v>
      </c>
      <c r="P402" s="105">
        <f t="shared" ca="1" si="176"/>
        <v>2.2605450653614625</v>
      </c>
      <c r="Q402" s="106">
        <f t="shared" ca="1" si="177"/>
        <v>1.1766125593740244</v>
      </c>
      <c r="R402" s="107">
        <f t="shared" ca="1" si="178"/>
        <v>-24.323699091523586</v>
      </c>
      <c r="S402" s="108">
        <f t="shared" ca="1" si="179"/>
        <v>-86.147421638512</v>
      </c>
      <c r="T402" s="116">
        <f t="shared" ca="1" si="180"/>
        <v>93.852578361488</v>
      </c>
      <c r="V402" s="72">
        <f t="shared" ca="1" si="181"/>
        <v>36308</v>
      </c>
      <c r="W402" s="72">
        <f t="shared" si="182"/>
        <v>1318270864</v>
      </c>
      <c r="Y402" s="110">
        <f t="shared" si="183"/>
        <v>6.3742341252252199</v>
      </c>
      <c r="Z402" s="111">
        <f t="shared" si="184"/>
        <v>-17.575940201167381</v>
      </c>
      <c r="AA402" s="72">
        <f t="shared" si="185"/>
        <v>162.42405979883262</v>
      </c>
      <c r="AB402" s="110">
        <f t="shared" ca="1" si="186"/>
        <v>-14.780332869867305</v>
      </c>
      <c r="AC402" s="111">
        <f t="shared" ca="1" si="187"/>
        <v>-68.57148143734463</v>
      </c>
      <c r="AD402" s="72">
        <f t="shared" ca="1" si="188"/>
        <v>111.42851856265537</v>
      </c>
    </row>
    <row r="403" spans="1:30">
      <c r="A403" s="118">
        <v>36519.5</v>
      </c>
      <c r="B403" s="101">
        <f t="shared" ca="1" si="162"/>
        <v>1872.7478520886218</v>
      </c>
      <c r="C403" s="102">
        <f t="shared" ca="1" si="163"/>
        <v>1.5702623520548342</v>
      </c>
      <c r="D403" s="102">
        <f t="shared" si="164"/>
        <v>48.540834845498402</v>
      </c>
      <c r="E403" s="103">
        <f t="shared" si="165"/>
        <v>1.5501936578939393</v>
      </c>
      <c r="F403" s="101">
        <f t="shared" si="166"/>
        <v>2753.5056083469076</v>
      </c>
      <c r="G403" s="104">
        <f t="shared" si="167"/>
        <v>1.5704331533846261</v>
      </c>
      <c r="H403" s="113">
        <f t="shared" si="168"/>
        <v>3.5842084497482394</v>
      </c>
      <c r="I403" s="114">
        <f t="shared" si="169"/>
        <v>1.2880420287721943</v>
      </c>
      <c r="J403" s="101">
        <f t="shared" si="170"/>
        <v>1.0002632220284429</v>
      </c>
      <c r="K403" s="104">
        <f t="shared" si="171"/>
        <v>2.2941852724310926E-2</v>
      </c>
      <c r="L403" s="102">
        <f t="shared" si="172"/>
        <v>1</v>
      </c>
      <c r="M403" s="103">
        <f t="shared" si="173"/>
        <v>1.2046586242075877E-9</v>
      </c>
      <c r="N403" s="101">
        <f t="shared" si="174"/>
        <v>1</v>
      </c>
      <c r="O403" s="104">
        <f t="shared" si="175"/>
        <v>1.9274537987321402E-10</v>
      </c>
      <c r="P403" s="105">
        <f t="shared" ca="1" si="176"/>
        <v>2.2711874569546158</v>
      </c>
      <c r="Q403" s="106">
        <f t="shared" ca="1" si="177"/>
        <v>1.1792946776698967</v>
      </c>
      <c r="R403" s="107">
        <f t="shared" ca="1" si="178"/>
        <v>-24.368491456330332</v>
      </c>
      <c r="S403" s="108">
        <f t="shared" ca="1" si="179"/>
        <v>-86.212750296577028</v>
      </c>
      <c r="T403" s="116">
        <f t="shared" ca="1" si="180"/>
        <v>93.787249703422972</v>
      </c>
      <c r="V403" s="72">
        <f t="shared" ca="1" si="181"/>
        <v>36519.5</v>
      </c>
      <c r="W403" s="72">
        <f t="shared" si="182"/>
        <v>1333673880.25</v>
      </c>
      <c r="Y403" s="110">
        <f t="shared" si="183"/>
        <v>6.3702595155695381</v>
      </c>
      <c r="Z403" s="111">
        <f t="shared" si="184"/>
        <v>-17.494290909570747</v>
      </c>
      <c r="AA403" s="72">
        <f t="shared" si="185"/>
        <v>162.50570909042926</v>
      </c>
      <c r="AB403" s="110">
        <f t="shared" ca="1" si="186"/>
        <v>-14.821150625018365</v>
      </c>
      <c r="AC403" s="111">
        <f t="shared" ca="1" si="187"/>
        <v>-68.718459387006291</v>
      </c>
      <c r="AD403" s="72">
        <f t="shared" ca="1" si="188"/>
        <v>111.28154061299371</v>
      </c>
    </row>
    <row r="404" spans="1:30">
      <c r="A404" s="118">
        <v>36731</v>
      </c>
      <c r="B404" s="101">
        <f t="shared" ca="1" si="162"/>
        <v>1883.5937305400309</v>
      </c>
      <c r="C404" s="102">
        <f t="shared" ca="1" si="163"/>
        <v>1.5702654267229956</v>
      </c>
      <c r="D404" s="102">
        <f t="shared" si="164"/>
        <v>48.821836555618859</v>
      </c>
      <c r="E404" s="103">
        <f t="shared" si="165"/>
        <v>1.5503122564109229</v>
      </c>
      <c r="F404" s="101">
        <f t="shared" si="166"/>
        <v>2769.4523315927172</v>
      </c>
      <c r="G404" s="104">
        <f t="shared" si="167"/>
        <v>1.5704352445656333</v>
      </c>
      <c r="H404" s="113">
        <f t="shared" si="168"/>
        <v>3.6033546039082487</v>
      </c>
      <c r="I404" s="114">
        <f t="shared" si="169"/>
        <v>1.289585439124175</v>
      </c>
      <c r="J404" s="101">
        <f t="shared" si="170"/>
        <v>1.000266279312142</v>
      </c>
      <c r="K404" s="104">
        <f t="shared" si="171"/>
        <v>2.307467175663161E-2</v>
      </c>
      <c r="L404" s="102">
        <f t="shared" si="172"/>
        <v>1</v>
      </c>
      <c r="M404" s="103">
        <f t="shared" si="173"/>
        <v>1.2116353160850751E-9</v>
      </c>
      <c r="N404" s="101">
        <f t="shared" si="174"/>
        <v>1</v>
      </c>
      <c r="O404" s="104">
        <f t="shared" si="175"/>
        <v>1.9386165057361201E-10</v>
      </c>
      <c r="P404" s="105">
        <f t="shared" ca="1" si="176"/>
        <v>2.2818426426928324</v>
      </c>
      <c r="Q404" s="106">
        <f t="shared" ca="1" si="177"/>
        <v>1.181955386429888</v>
      </c>
      <c r="R404" s="107">
        <f t="shared" ca="1" si="178"/>
        <v>-24.413077081560385</v>
      </c>
      <c r="S404" s="108">
        <f t="shared" ca="1" si="179"/>
        <v>-86.277877536417677</v>
      </c>
      <c r="T404" s="116">
        <f t="shared" ca="1" si="180"/>
        <v>93.722122463582323</v>
      </c>
      <c r="V404" s="72">
        <f t="shared" ca="1" si="181"/>
        <v>36731</v>
      </c>
      <c r="W404" s="72">
        <f t="shared" si="182"/>
        <v>1349166361</v>
      </c>
      <c r="Y404" s="110">
        <f t="shared" si="183"/>
        <v>6.3663492582997137</v>
      </c>
      <c r="Z404" s="111">
        <f t="shared" si="184"/>
        <v>-17.413589795754373</v>
      </c>
      <c r="AA404" s="72">
        <f t="shared" si="185"/>
        <v>162.58641020424562</v>
      </c>
      <c r="AB404" s="110">
        <f t="shared" ca="1" si="186"/>
        <v>-14.861825992978595</v>
      </c>
      <c r="AC404" s="111">
        <f t="shared" ca="1" si="187"/>
        <v>-68.864287740663286</v>
      </c>
      <c r="AD404" s="72">
        <f t="shared" ca="1" si="188"/>
        <v>111.13571225933671</v>
      </c>
    </row>
    <row r="405" spans="1:30">
      <c r="A405" s="118">
        <v>36942.5</v>
      </c>
      <c r="B405" s="101">
        <f t="shared" ca="1" si="162"/>
        <v>1894.4396090090431</v>
      </c>
      <c r="C405" s="102">
        <f t="shared" ca="1" si="163"/>
        <v>1.5702684661855195</v>
      </c>
      <c r="D405" s="102">
        <f t="shared" si="164"/>
        <v>49.102838944588456</v>
      </c>
      <c r="E405" s="103">
        <f t="shared" si="165"/>
        <v>1.5504294975144775</v>
      </c>
      <c r="F405" s="101">
        <f t="shared" si="166"/>
        <v>2785.3990548504985</v>
      </c>
      <c r="G405" s="104">
        <f t="shared" si="167"/>
        <v>1.5704373118021471</v>
      </c>
      <c r="H405" s="113">
        <f t="shared" si="168"/>
        <v>3.6225092509289336</v>
      </c>
      <c r="I405" s="114">
        <f t="shared" si="169"/>
        <v>1.29111253098112</v>
      </c>
      <c r="J405" s="101">
        <f t="shared" si="170"/>
        <v>1.0002693542413255</v>
      </c>
      <c r="K405" s="104">
        <f t="shared" si="171"/>
        <v>2.3207489974697029E-2</v>
      </c>
      <c r="L405" s="102">
        <f t="shared" si="172"/>
        <v>1</v>
      </c>
      <c r="M405" s="103">
        <f t="shared" si="173"/>
        <v>1.2186120079625626E-9</v>
      </c>
      <c r="N405" s="101">
        <f t="shared" si="174"/>
        <v>1</v>
      </c>
      <c r="O405" s="104">
        <f t="shared" si="175"/>
        <v>1.9497792127401E-10</v>
      </c>
      <c r="P405" s="105">
        <f t="shared" ca="1" si="176"/>
        <v>2.2925104623189814</v>
      </c>
      <c r="Q405" s="106">
        <f t="shared" ca="1" si="177"/>
        <v>1.1845949586141793</v>
      </c>
      <c r="R405" s="107">
        <f t="shared" ca="1" si="178"/>
        <v>-24.457457844259256</v>
      </c>
      <c r="S405" s="108">
        <f t="shared" ca="1" si="179"/>
        <v>-86.342803058925</v>
      </c>
      <c r="T405" s="116">
        <f t="shared" ca="1" si="180"/>
        <v>93.657196941075</v>
      </c>
      <c r="V405" s="72">
        <f t="shared" ca="1" si="181"/>
        <v>36942.5</v>
      </c>
      <c r="W405" s="72">
        <f t="shared" si="182"/>
        <v>1364748306.25</v>
      </c>
      <c r="Y405" s="110">
        <f t="shared" si="183"/>
        <v>6.3625019734513097</v>
      </c>
      <c r="Z405" s="111">
        <f t="shared" si="184"/>
        <v>-17.333822244260777</v>
      </c>
      <c r="AA405" s="72">
        <f t="shared" si="185"/>
        <v>162.66617775573923</v>
      </c>
      <c r="AB405" s="110">
        <f t="shared" ca="1" si="186"/>
        <v>-14.902359470829058</v>
      </c>
      <c r="AC405" s="111">
        <f t="shared" ca="1" si="187"/>
        <v>-69.008980814664127</v>
      </c>
      <c r="AD405" s="72">
        <f t="shared" ca="1" si="188"/>
        <v>110.99101918533587</v>
      </c>
    </row>
    <row r="406" spans="1:30">
      <c r="A406" s="118">
        <v>37154</v>
      </c>
      <c r="B406" s="101">
        <f t="shared" ca="1" si="162"/>
        <v>1905.2854874953571</v>
      </c>
      <c r="C406" s="102">
        <f t="shared" ca="1" si="163"/>
        <v>1.5702714710436323</v>
      </c>
      <c r="D406" s="102">
        <f t="shared" si="164"/>
        <v>49.383842000818888</v>
      </c>
      <c r="E406" s="103">
        <f t="shared" si="165"/>
        <v>1.5505454043731408</v>
      </c>
      <c r="F406" s="101">
        <f t="shared" si="166"/>
        <v>2801.3457781200482</v>
      </c>
      <c r="G406" s="104">
        <f t="shared" si="167"/>
        <v>1.5704393555030809</v>
      </c>
      <c r="H406" s="113">
        <f t="shared" si="168"/>
        <v>3.6416722567967956</v>
      </c>
      <c r="I406" s="114">
        <f t="shared" si="169"/>
        <v>1.2926235547747285</v>
      </c>
      <c r="J406" s="101">
        <f t="shared" si="170"/>
        <v>1.0002724468158313</v>
      </c>
      <c r="K406" s="104">
        <f t="shared" si="171"/>
        <v>2.3340307373828712E-2</v>
      </c>
      <c r="L406" s="102">
        <f t="shared" si="172"/>
        <v>1</v>
      </c>
      <c r="M406" s="103">
        <f t="shared" si="173"/>
        <v>1.2255886998400501E-9</v>
      </c>
      <c r="N406" s="101">
        <f t="shared" si="174"/>
        <v>1</v>
      </c>
      <c r="O406" s="104">
        <f t="shared" si="175"/>
        <v>1.9609419197440802E-10</v>
      </c>
      <c r="P406" s="105">
        <f t="shared" ca="1" si="176"/>
        <v>2.3031907584395981</v>
      </c>
      <c r="Q406" s="106">
        <f t="shared" ca="1" si="177"/>
        <v>1.1872136630176922</v>
      </c>
      <c r="R406" s="107">
        <f t="shared" ca="1" si="178"/>
        <v>-24.501635594149548</v>
      </c>
      <c r="S406" s="108">
        <f t="shared" ca="1" si="179"/>
        <v>-86.407526646383204</v>
      </c>
      <c r="T406" s="116">
        <f t="shared" ca="1" si="180"/>
        <v>93.592473353616796</v>
      </c>
      <c r="V406" s="72">
        <f t="shared" ca="1" si="181"/>
        <v>37154</v>
      </c>
      <c r="W406" s="72">
        <f t="shared" si="182"/>
        <v>1380419716</v>
      </c>
      <c r="Y406" s="110">
        <f t="shared" si="183"/>
        <v>6.358716317305932</v>
      </c>
      <c r="Z406" s="111">
        <f t="shared" si="184"/>
        <v>-17.254973929571548</v>
      </c>
      <c r="AA406" s="72">
        <f t="shared" si="185"/>
        <v>162.74502607042845</v>
      </c>
      <c r="AB406" s="110">
        <f t="shared" ca="1" si="186"/>
        <v>-14.942751564573975</v>
      </c>
      <c r="AC406" s="111">
        <f t="shared" ca="1" si="187"/>
        <v>-69.15255271681167</v>
      </c>
      <c r="AD406" s="72">
        <f t="shared" ca="1" si="188"/>
        <v>110.84744728318833</v>
      </c>
    </row>
    <row r="407" spans="1:30">
      <c r="A407" s="118">
        <v>37370.25</v>
      </c>
      <c r="B407" s="101">
        <f t="shared" ca="1" si="162"/>
        <v>1916.3749495586403</v>
      </c>
      <c r="C407" s="102">
        <f t="shared" ca="1" si="163"/>
        <v>1.5702745082198768</v>
      </c>
      <c r="D407" s="102">
        <f t="shared" si="164"/>
        <v>49.671156678503699</v>
      </c>
      <c r="E407" s="103">
        <f t="shared" si="165"/>
        <v>1.5506625583967382</v>
      </c>
      <c r="F407" s="101">
        <f t="shared" si="166"/>
        <v>2817.6506429407073</v>
      </c>
      <c r="G407" s="104">
        <f t="shared" si="167"/>
        <v>1.5704414211846152</v>
      </c>
      <c r="H407" s="113">
        <f t="shared" si="168"/>
        <v>3.6612741433277409</v>
      </c>
      <c r="I407" s="114">
        <f t="shared" si="169"/>
        <v>1.294152156361456</v>
      </c>
      <c r="J407" s="101">
        <f t="shared" si="170"/>
        <v>1.000275627089356</v>
      </c>
      <c r="K407" s="104">
        <f t="shared" si="171"/>
        <v>2.3476106818029439E-2</v>
      </c>
      <c r="L407" s="102">
        <f t="shared" si="172"/>
        <v>1</v>
      </c>
      <c r="M407" s="103">
        <f t="shared" si="173"/>
        <v>1.2327220786509563E-9</v>
      </c>
      <c r="N407" s="101">
        <f t="shared" si="174"/>
        <v>1</v>
      </c>
      <c r="O407" s="104">
        <f t="shared" si="175"/>
        <v>1.97235532584153E-10</v>
      </c>
      <c r="P407" s="105">
        <f t="shared" ca="1" si="176"/>
        <v>2.3141236583007365</v>
      </c>
      <c r="Q407" s="106">
        <f t="shared" ca="1" si="177"/>
        <v>1.1898698796013818</v>
      </c>
      <c r="R407" s="107">
        <f t="shared" ca="1" si="178"/>
        <v>-24.546597511508175</v>
      </c>
      <c r="S407" s="108">
        <f t="shared" ca="1" si="179"/>
        <v>-86.473494902478848</v>
      </c>
      <c r="T407" s="116">
        <f t="shared" ca="1" si="180"/>
        <v>93.526505097521152</v>
      </c>
      <c r="V407" s="72">
        <f t="shared" ca="1" si="181"/>
        <v>37370.25</v>
      </c>
      <c r="W407" s="72">
        <f t="shared" si="182"/>
        <v>1396535585.0625</v>
      </c>
      <c r="Y407" s="110">
        <f t="shared" si="183"/>
        <v>6.3549079979669667</v>
      </c>
      <c r="Z407" s="111">
        <f t="shared" si="184"/>
        <v>-17.175290599507338</v>
      </c>
      <c r="AA407" s="72">
        <f t="shared" si="185"/>
        <v>162.82470940049265</v>
      </c>
      <c r="AB407" s="110">
        <f t="shared" ca="1" si="186"/>
        <v>-14.983905162593638</v>
      </c>
      <c r="AC407" s="111">
        <f t="shared" ca="1" si="187"/>
        <v>-69.298204302971499</v>
      </c>
      <c r="AD407" s="72">
        <f t="shared" ca="1" si="188"/>
        <v>110.7017956970285</v>
      </c>
    </row>
    <row r="408" spans="1:30">
      <c r="A408" s="118">
        <v>37586.5</v>
      </c>
      <c r="B408" s="101">
        <f t="shared" ca="1" si="162"/>
        <v>1927.4644116393972</v>
      </c>
      <c r="C408" s="102">
        <f t="shared" ca="1" si="163"/>
        <v>1.5702775104479783</v>
      </c>
      <c r="D408" s="102">
        <f t="shared" si="164"/>
        <v>49.958472030086895</v>
      </c>
      <c r="E408" s="103">
        <f t="shared" si="165"/>
        <v>1.5507783648967308</v>
      </c>
      <c r="F408" s="101">
        <f t="shared" si="166"/>
        <v>2833.9555077732512</v>
      </c>
      <c r="G408" s="104">
        <f t="shared" si="167"/>
        <v>1.5704434630967865</v>
      </c>
      <c r="H408" s="113">
        <f t="shared" si="168"/>
        <v>3.680884493747381</v>
      </c>
      <c r="I408" s="114">
        <f t="shared" si="169"/>
        <v>1.2956644738366703</v>
      </c>
      <c r="J408" s="101">
        <f t="shared" si="170"/>
        <v>1.0002788258093354</v>
      </c>
      <c r="K408" s="104">
        <f t="shared" si="171"/>
        <v>2.3611905396207857E-2</v>
      </c>
      <c r="L408" s="102">
        <f t="shared" si="172"/>
        <v>1</v>
      </c>
      <c r="M408" s="103">
        <f t="shared" si="173"/>
        <v>1.2398554574618626E-9</v>
      </c>
      <c r="N408" s="101">
        <f t="shared" si="174"/>
        <v>1</v>
      </c>
      <c r="O408" s="104">
        <f t="shared" si="175"/>
        <v>1.98376873193898E-10</v>
      </c>
      <c r="P408" s="105">
        <f t="shared" ca="1" si="176"/>
        <v>2.3250692774946846</v>
      </c>
      <c r="Q408" s="106">
        <f t="shared" ca="1" si="177"/>
        <v>1.19250483583736</v>
      </c>
      <c r="R408" s="107">
        <f t="shared" ca="1" si="178"/>
        <v>-24.591351021105872</v>
      </c>
      <c r="S408" s="108">
        <f t="shared" ca="1" si="179"/>
        <v>-86.539251834772884</v>
      </c>
      <c r="T408" s="116">
        <f t="shared" ca="1" si="180"/>
        <v>93.460748165227116</v>
      </c>
      <c r="V408" s="72">
        <f t="shared" ca="1" si="181"/>
        <v>37586.5</v>
      </c>
      <c r="W408" s="72">
        <f t="shared" si="182"/>
        <v>1412744982.25</v>
      </c>
      <c r="Y408" s="110">
        <f t="shared" si="183"/>
        <v>6.351161376735412</v>
      </c>
      <c r="Z408" s="111">
        <f t="shared" si="184"/>
        <v>-17.096538868803428</v>
      </c>
      <c r="AA408" s="72">
        <f t="shared" si="185"/>
        <v>162.90346113119656</v>
      </c>
      <c r="AB408" s="110">
        <f t="shared" ca="1" si="186"/>
        <v>-15.024912050959784</v>
      </c>
      <c r="AC408" s="111">
        <f t="shared" ca="1" si="187"/>
        <v>-69.442712965969449</v>
      </c>
      <c r="AD408" s="72">
        <f t="shared" ca="1" si="188"/>
        <v>110.55728703403055</v>
      </c>
    </row>
    <row r="409" spans="1:30">
      <c r="A409" s="118">
        <v>37802.75</v>
      </c>
      <c r="B409" s="101">
        <f t="shared" ca="1" si="162"/>
        <v>1938.5538737373283</v>
      </c>
      <c r="C409" s="102">
        <f t="shared" ca="1" si="163"/>
        <v>1.5702804783276978</v>
      </c>
      <c r="D409" s="102">
        <f t="shared" si="164"/>
        <v>50.245788044008037</v>
      </c>
      <c r="E409" s="103">
        <f t="shared" si="165"/>
        <v>1.5508928469862584</v>
      </c>
      <c r="F409" s="101">
        <f t="shared" si="166"/>
        <v>2850.2603726174762</v>
      </c>
      <c r="G409" s="104">
        <f t="shared" si="167"/>
        <v>1.570445481647512</v>
      </c>
      <c r="H409" s="113">
        <f t="shared" si="168"/>
        <v>3.7005031734957829</v>
      </c>
      <c r="I409" s="114">
        <f t="shared" si="169"/>
        <v>1.2971607592239252</v>
      </c>
      <c r="J409" s="101">
        <f t="shared" si="170"/>
        <v>1.0002820429755923</v>
      </c>
      <c r="K409" s="104">
        <f t="shared" si="171"/>
        <v>2.3747703103363708E-2</v>
      </c>
      <c r="L409" s="102">
        <f t="shared" si="172"/>
        <v>1</v>
      </c>
      <c r="M409" s="103">
        <f t="shared" si="173"/>
        <v>1.2469888362727689E-9</v>
      </c>
      <c r="N409" s="101">
        <f t="shared" si="174"/>
        <v>1</v>
      </c>
      <c r="O409" s="104">
        <f t="shared" si="175"/>
        <v>1.99518213803643E-10</v>
      </c>
      <c r="P409" s="105">
        <f t="shared" ca="1" si="176"/>
        <v>2.3360274566988832</v>
      </c>
      <c r="Q409" s="106">
        <f t="shared" ca="1" si="177"/>
        <v>1.1951188059708489</v>
      </c>
      <c r="R409" s="107">
        <f t="shared" ca="1" si="178"/>
        <v>-24.635898015603708</v>
      </c>
      <c r="S409" s="108">
        <f t="shared" ca="1" si="179"/>
        <v>-86.604797449636962</v>
      </c>
      <c r="T409" s="116">
        <f t="shared" ca="1" si="180"/>
        <v>93.395202550363038</v>
      </c>
      <c r="V409" s="72">
        <f t="shared" ca="1" si="181"/>
        <v>37802.75</v>
      </c>
      <c r="W409" s="72">
        <f t="shared" si="182"/>
        <v>1429047907.5625</v>
      </c>
      <c r="Y409" s="110">
        <f t="shared" si="183"/>
        <v>6.347475127674846</v>
      </c>
      <c r="Z409" s="111">
        <f t="shared" si="184"/>
        <v>-17.018704320659264</v>
      </c>
      <c r="AA409" s="72">
        <f t="shared" si="185"/>
        <v>162.98129567934075</v>
      </c>
      <c r="AB409" s="110">
        <f t="shared" ca="1" si="186"/>
        <v>-15.06577279639705</v>
      </c>
      <c r="AC409" s="111">
        <f t="shared" ca="1" si="187"/>
        <v>-69.586093128977723</v>
      </c>
      <c r="AD409" s="72">
        <f t="shared" ca="1" si="188"/>
        <v>110.41390687102228</v>
      </c>
    </row>
    <row r="410" spans="1:30">
      <c r="A410" s="118">
        <v>38019</v>
      </c>
      <c r="B410" s="101">
        <f t="shared" ca="1" si="162"/>
        <v>1949.6433358521408</v>
      </c>
      <c r="C410" s="102">
        <f t="shared" ca="1" si="163"/>
        <v>1.5702834124451497</v>
      </c>
      <c r="D410" s="102">
        <f t="shared" si="164"/>
        <v>50.533104708969546</v>
      </c>
      <c r="E410" s="103">
        <f t="shared" si="165"/>
        <v>1.5510060272529422</v>
      </c>
      <c r="F410" s="101">
        <f t="shared" si="166"/>
        <v>2866.5652374731822</v>
      </c>
      <c r="G410" s="104">
        <f t="shared" si="167"/>
        <v>1.5704474772354273</v>
      </c>
      <c r="H410" s="113">
        <f t="shared" si="168"/>
        <v>3.720130050794948</v>
      </c>
      <c r="I410" s="114">
        <f t="shared" si="169"/>
        <v>1.2986412595187624</v>
      </c>
      <c r="J410" s="101">
        <f t="shared" si="170"/>
        <v>1.0002852785879488</v>
      </c>
      <c r="K410" s="104">
        <f t="shared" si="171"/>
        <v>2.3883499934496923E-2</v>
      </c>
      <c r="L410" s="102">
        <f t="shared" si="172"/>
        <v>1</v>
      </c>
      <c r="M410" s="103">
        <f t="shared" si="173"/>
        <v>1.2541222150836752E-9</v>
      </c>
      <c r="N410" s="101">
        <f t="shared" si="174"/>
        <v>1</v>
      </c>
      <c r="O410" s="104">
        <f t="shared" si="175"/>
        <v>2.0065955441338801E-10</v>
      </c>
      <c r="P410" s="105">
        <f t="shared" ca="1" si="176"/>
        <v>2.3469980394747458</v>
      </c>
      <c r="Q410" s="106">
        <f t="shared" ca="1" si="177"/>
        <v>1.1977120599864592</v>
      </c>
      <c r="R410" s="107">
        <f t="shared" ca="1" si="178"/>
        <v>-24.680240360484845</v>
      </c>
      <c r="S410" s="108">
        <f t="shared" ca="1" si="179"/>
        <v>-86.670131826207935</v>
      </c>
      <c r="T410" s="116">
        <f t="shared" ca="1" si="180"/>
        <v>93.329868173792065</v>
      </c>
      <c r="V410" s="72">
        <f t="shared" ca="1" si="181"/>
        <v>38019</v>
      </c>
      <c r="W410" s="72">
        <f t="shared" si="182"/>
        <v>1445444361</v>
      </c>
      <c r="Y410" s="110">
        <f t="shared" si="183"/>
        <v>6.3438479597624493</v>
      </c>
      <c r="Z410" s="111">
        <f t="shared" si="184"/>
        <v>-16.941772825826373</v>
      </c>
      <c r="AA410" s="72">
        <f t="shared" si="185"/>
        <v>163.05822717417362</v>
      </c>
      <c r="AB410" s="110">
        <f t="shared" ca="1" si="186"/>
        <v>-15.106487973365791</v>
      </c>
      <c r="AC410" s="111">
        <f t="shared" ca="1" si="187"/>
        <v>-69.728359000381531</v>
      </c>
      <c r="AD410" s="72">
        <f t="shared" ca="1" si="188"/>
        <v>110.27164099961847</v>
      </c>
    </row>
    <row r="411" spans="1:30">
      <c r="A411" s="118">
        <v>38240.5</v>
      </c>
      <c r="B411" s="101">
        <f t="shared" ca="1" si="162"/>
        <v>1961.0020219198898</v>
      </c>
      <c r="C411" s="102">
        <f t="shared" ca="1" si="163"/>
        <v>1.5702863833924103</v>
      </c>
      <c r="D411" s="102">
        <f t="shared" si="164"/>
        <v>50.827397355210863</v>
      </c>
      <c r="E411" s="103">
        <f t="shared" si="165"/>
        <v>1.5511206287042028</v>
      </c>
      <c r="F411" s="101">
        <f t="shared" si="166"/>
        <v>2883.2659429902633</v>
      </c>
      <c r="G411" s="104">
        <f t="shared" si="167"/>
        <v>1.5704494978724799</v>
      </c>
      <c r="H411" s="113">
        <f t="shared" si="168"/>
        <v>3.7402417823767444</v>
      </c>
      <c r="I411" s="114">
        <f t="shared" si="169"/>
        <v>1.3001415909943823</v>
      </c>
      <c r="J411" s="101">
        <f t="shared" si="170"/>
        <v>1.000288611875829</v>
      </c>
      <c r="K411" s="104">
        <f t="shared" si="171"/>
        <v>2.4022592653903267E-2</v>
      </c>
      <c r="L411" s="102">
        <f t="shared" si="172"/>
        <v>1</v>
      </c>
      <c r="M411" s="103">
        <f t="shared" si="173"/>
        <v>1.2614287741894127E-9</v>
      </c>
      <c r="N411" s="101">
        <f t="shared" si="174"/>
        <v>1</v>
      </c>
      <c r="O411" s="104">
        <f t="shared" si="175"/>
        <v>2.01828603870306E-10</v>
      </c>
      <c r="P411" s="105">
        <f t="shared" ca="1" si="176"/>
        <v>2.3582476584923215</v>
      </c>
      <c r="Q411" s="106">
        <f t="shared" ca="1" si="177"/>
        <v>1.2003470727455192</v>
      </c>
      <c r="R411" s="107">
        <f t="shared" ca="1" si="178"/>
        <v>-24.725448983933468</v>
      </c>
      <c r="S411" s="108">
        <f t="shared" ca="1" si="179"/>
        <v>-86.73683351758001</v>
      </c>
      <c r="T411" s="116">
        <f t="shared" ca="1" si="180"/>
        <v>93.26316648241999</v>
      </c>
      <c r="V411" s="72">
        <f t="shared" ca="1" si="181"/>
        <v>38240.5</v>
      </c>
      <c r="W411" s="72">
        <f t="shared" si="182"/>
        <v>1462335840.25</v>
      </c>
      <c r="Y411" s="110">
        <f t="shared" si="183"/>
        <v>6.3401926698233337</v>
      </c>
      <c r="Z411" s="111">
        <f t="shared" si="184"/>
        <v>-16.86389536372009</v>
      </c>
      <c r="AA411" s="72">
        <f t="shared" si="185"/>
        <v>163.13610463627992</v>
      </c>
      <c r="AB411" s="110">
        <f t="shared" ca="1" si="186"/>
        <v>-15.148041306875296</v>
      </c>
      <c r="AC411" s="111">
        <f t="shared" ca="1" si="187"/>
        <v>-69.872938153859877</v>
      </c>
      <c r="AD411" s="72">
        <f t="shared" ca="1" si="188"/>
        <v>110.12706184614012</v>
      </c>
    </row>
    <row r="412" spans="1:30">
      <c r="A412" s="118">
        <v>38462</v>
      </c>
      <c r="B412" s="101">
        <f t="shared" ca="1" si="162"/>
        <v>1972.3607080047486</v>
      </c>
      <c r="C412" s="102">
        <f t="shared" ca="1" si="163"/>
        <v>1.5702893201207198</v>
      </c>
      <c r="D412" s="102">
        <f t="shared" si="164"/>
        <v>51.121690661307738</v>
      </c>
      <c r="E412" s="103">
        <f t="shared" si="165"/>
        <v>1.551233910699793</v>
      </c>
      <c r="F412" s="101">
        <f t="shared" si="166"/>
        <v>2899.9666485189814</v>
      </c>
      <c r="G412" s="104">
        <f t="shared" si="167"/>
        <v>1.5704514952361168</v>
      </c>
      <c r="H412" s="113">
        <f t="shared" si="168"/>
        <v>3.7603618431530319</v>
      </c>
      <c r="I412" s="114">
        <f t="shared" si="169"/>
        <v>1.3016258705389701</v>
      </c>
      <c r="J412" s="101">
        <f t="shared" si="170"/>
        <v>1.0002919645159483</v>
      </c>
      <c r="K412" s="104">
        <f t="shared" si="171"/>
        <v>2.4161684443617128E-2</v>
      </c>
      <c r="L412" s="102">
        <f t="shared" si="172"/>
        <v>1</v>
      </c>
      <c r="M412" s="103">
        <f t="shared" si="173"/>
        <v>1.2687353332951501E-9</v>
      </c>
      <c r="N412" s="101">
        <f t="shared" si="174"/>
        <v>1</v>
      </c>
      <c r="O412" s="104">
        <f t="shared" si="175"/>
        <v>2.0299765332722402E-10</v>
      </c>
      <c r="P412" s="105">
        <f t="shared" ca="1" si="176"/>
        <v>2.3695099674303481</v>
      </c>
      <c r="Q412" s="106">
        <f t="shared" ca="1" si="177"/>
        <v>1.202960911294811</v>
      </c>
      <c r="R412" s="107">
        <f t="shared" ca="1" si="178"/>
        <v>-24.770446777499146</v>
      </c>
      <c r="S412" s="108">
        <f t="shared" ca="1" si="179"/>
        <v>-86.803313975902441</v>
      </c>
      <c r="T412" s="116">
        <f t="shared" ca="1" si="180"/>
        <v>93.196686024097559</v>
      </c>
      <c r="V412" s="72">
        <f t="shared" ca="1" si="181"/>
        <v>38462</v>
      </c>
      <c r="W412" s="72">
        <f t="shared" si="182"/>
        <v>1479325444</v>
      </c>
      <c r="Y412" s="110">
        <f t="shared" si="183"/>
        <v>6.3365967303434427</v>
      </c>
      <c r="Z412" s="111">
        <f t="shared" si="184"/>
        <v>-16.786936222780099</v>
      </c>
      <c r="AA412" s="72">
        <f t="shared" si="185"/>
        <v>163.2130637772199</v>
      </c>
      <c r="AB412" s="110">
        <f t="shared" ca="1" si="186"/>
        <v>-15.18944316096108</v>
      </c>
      <c r="AC412" s="111">
        <f t="shared" ca="1" si="187"/>
        <v>-70.01637775312237</v>
      </c>
      <c r="AD412" s="72">
        <f t="shared" ca="1" si="188"/>
        <v>109.98362224687763</v>
      </c>
    </row>
    <row r="413" spans="1:30">
      <c r="A413" s="118">
        <v>38683.5</v>
      </c>
      <c r="B413" s="101">
        <f t="shared" ca="1" si="162"/>
        <v>1983.7193941064229</v>
      </c>
      <c r="C413" s="102">
        <f t="shared" ca="1" si="163"/>
        <v>1.5702922232178864</v>
      </c>
      <c r="D413" s="102">
        <f t="shared" si="164"/>
        <v>51.415984615929595</v>
      </c>
      <c r="E413" s="103">
        <f t="shared" si="165"/>
        <v>1.5513458958936153</v>
      </c>
      <c r="F413" s="101">
        <f t="shared" si="166"/>
        <v>2916.6673540591364</v>
      </c>
      <c r="G413" s="104">
        <f t="shared" si="167"/>
        <v>1.5704534697261259</v>
      </c>
      <c r="H413" s="113">
        <f t="shared" si="168"/>
        <v>3.7804901001379614</v>
      </c>
      <c r="I413" s="114">
        <f t="shared" si="169"/>
        <v>1.3030943479530543</v>
      </c>
      <c r="J413" s="101">
        <f t="shared" si="170"/>
        <v>1.0002953365081122</v>
      </c>
      <c r="K413" s="104">
        <f t="shared" si="171"/>
        <v>2.4300775298266006E-2</v>
      </c>
      <c r="L413" s="102">
        <f t="shared" si="172"/>
        <v>1</v>
      </c>
      <c r="M413" s="103">
        <f t="shared" si="173"/>
        <v>1.2760418924008876E-9</v>
      </c>
      <c r="N413" s="101">
        <f t="shared" si="174"/>
        <v>1</v>
      </c>
      <c r="O413" s="104">
        <f t="shared" si="175"/>
        <v>2.0416670278414202E-10</v>
      </c>
      <c r="P413" s="105">
        <f t="shared" ca="1" si="176"/>
        <v>2.380784807206616</v>
      </c>
      <c r="Q413" s="106">
        <f t="shared" ca="1" si="177"/>
        <v>1.2055538523254428</v>
      </c>
      <c r="R413" s="107">
        <f t="shared" ca="1" si="178"/>
        <v>-24.815235661172071</v>
      </c>
      <c r="S413" s="108">
        <f t="shared" ca="1" si="179"/>
        <v>-86.869573500196324</v>
      </c>
      <c r="T413" s="116">
        <f t="shared" ca="1" si="180"/>
        <v>93.130426499803676</v>
      </c>
      <c r="V413" s="72">
        <f t="shared" ca="1" si="181"/>
        <v>38683.5</v>
      </c>
      <c r="W413" s="72">
        <f t="shared" si="182"/>
        <v>1496413172.25</v>
      </c>
      <c r="Y413" s="110">
        <f t="shared" si="183"/>
        <v>6.3330588609171397</v>
      </c>
      <c r="Z413" s="111">
        <f t="shared" si="184"/>
        <v>-16.710881113088679</v>
      </c>
      <c r="AA413" s="72">
        <f t="shared" si="185"/>
        <v>163.28911888691133</v>
      </c>
      <c r="AB413" s="110">
        <f t="shared" ca="1" si="186"/>
        <v>-15.230694175207706</v>
      </c>
      <c r="AC413" s="111">
        <f t="shared" ca="1" si="187"/>
        <v>-70.158692387107706</v>
      </c>
      <c r="AD413" s="72">
        <f t="shared" ca="1" si="188"/>
        <v>109.84130761289229</v>
      </c>
    </row>
    <row r="414" spans="1:30">
      <c r="A414" s="118">
        <v>38905</v>
      </c>
      <c r="B414" s="101">
        <f t="shared" ca="1" si="162"/>
        <v>1995.0780802246256</v>
      </c>
      <c r="C414" s="102">
        <f t="shared" ca="1" si="163"/>
        <v>1.5702950932583326</v>
      </c>
      <c r="D414" s="102">
        <f t="shared" si="164"/>
        <v>51.710279208003769</v>
      </c>
      <c r="E414" s="103">
        <f t="shared" si="165"/>
        <v>1.5514566064239903</v>
      </c>
      <c r="F414" s="101">
        <f t="shared" si="166"/>
        <v>2933.3680596105332</v>
      </c>
      <c r="G414" s="104">
        <f t="shared" si="167"/>
        <v>1.5704554217331901</v>
      </c>
      <c r="H414" s="113">
        <f t="shared" si="168"/>
        <v>3.8006264231092679</v>
      </c>
      <c r="I414" s="114">
        <f t="shared" si="169"/>
        <v>1.3045472680190862</v>
      </c>
      <c r="J414" s="101">
        <f t="shared" si="170"/>
        <v>1.0002987278521249</v>
      </c>
      <c r="K414" s="104">
        <f t="shared" si="171"/>
        <v>2.44398652124776E-2</v>
      </c>
      <c r="L414" s="102">
        <f t="shared" si="172"/>
        <v>1</v>
      </c>
      <c r="M414" s="103">
        <f t="shared" si="173"/>
        <v>1.2833484515066252E-9</v>
      </c>
      <c r="N414" s="101">
        <f t="shared" si="174"/>
        <v>1</v>
      </c>
      <c r="O414" s="104">
        <f t="shared" si="175"/>
        <v>2.0533575224106001E-10</v>
      </c>
      <c r="P414" s="105">
        <f t="shared" ca="1" si="176"/>
        <v>2.3920720216603475</v>
      </c>
      <c r="Q414" s="106">
        <f t="shared" ca="1" si="177"/>
        <v>1.2081261681485005</v>
      </c>
      <c r="R414" s="107">
        <f t="shared" ca="1" si="178"/>
        <v>-24.859817527651707</v>
      </c>
      <c r="S414" s="108">
        <f t="shared" ca="1" si="179"/>
        <v>-86.935612454292638</v>
      </c>
      <c r="T414" s="116">
        <f t="shared" ca="1" si="180"/>
        <v>93.064387545707362</v>
      </c>
      <c r="V414" s="72">
        <f t="shared" ca="1" si="181"/>
        <v>38905</v>
      </c>
      <c r="W414" s="72">
        <f t="shared" si="182"/>
        <v>1513599025</v>
      </c>
      <c r="Y414" s="110">
        <f t="shared" si="183"/>
        <v>6.3295778149922111</v>
      </c>
      <c r="Z414" s="111">
        <f t="shared" si="184"/>
        <v>-16.635716031721156</v>
      </c>
      <c r="AA414" s="72">
        <f t="shared" si="185"/>
        <v>163.36428396827884</v>
      </c>
      <c r="AB414" s="110">
        <f t="shared" ca="1" si="186"/>
        <v>-15.271794995762413</v>
      </c>
      <c r="AC414" s="111">
        <f t="shared" ca="1" si="187"/>
        <v>-70.299896422571408</v>
      </c>
      <c r="AD414" s="72">
        <f t="shared" ca="1" si="188"/>
        <v>109.70010357742859</v>
      </c>
    </row>
    <row r="415" spans="1:30">
      <c r="A415" s="118">
        <v>39131.5</v>
      </c>
      <c r="B415" s="101">
        <f t="shared" ca="1" si="162"/>
        <v>2006.6931701094747</v>
      </c>
      <c r="C415" s="102">
        <f t="shared" ca="1" si="163"/>
        <v>1.5702979944856603</v>
      </c>
      <c r="D415" s="102">
        <f t="shared" si="164"/>
        <v>52.011217666785505</v>
      </c>
      <c r="E415" s="103">
        <f t="shared" si="165"/>
        <v>1.5515685204559972</v>
      </c>
      <c r="F415" s="101">
        <f t="shared" si="166"/>
        <v>2950.4457562693237</v>
      </c>
      <c r="G415" s="104">
        <f t="shared" si="167"/>
        <v>1.5704573949514553</v>
      </c>
      <c r="H415" s="113">
        <f t="shared" si="168"/>
        <v>3.8212254989171304</v>
      </c>
      <c r="I415" s="114">
        <f t="shared" si="169"/>
        <v>1.306017147201624</v>
      </c>
      <c r="J415" s="101">
        <f t="shared" si="170"/>
        <v>1.0003022157620072</v>
      </c>
      <c r="K415" s="104">
        <f t="shared" si="171"/>
        <v>2.4582093875755027E-2</v>
      </c>
      <c r="L415" s="102">
        <f t="shared" si="172"/>
        <v>1</v>
      </c>
      <c r="M415" s="103">
        <f t="shared" si="173"/>
        <v>1.2908199442264876E-9</v>
      </c>
      <c r="N415" s="101">
        <f t="shared" si="174"/>
        <v>1</v>
      </c>
      <c r="O415" s="104">
        <f t="shared" si="175"/>
        <v>2.0653119107623801E-10</v>
      </c>
      <c r="P415" s="105">
        <f t="shared" ca="1" si="176"/>
        <v>2.4036266636395927</v>
      </c>
      <c r="Q415" s="106">
        <f t="shared" ca="1" si="177"/>
        <v>1.2107355001684383</v>
      </c>
      <c r="R415" s="107">
        <f t="shared" ca="1" si="178"/>
        <v>-24.905193621299087</v>
      </c>
      <c r="S415" s="108">
        <f t="shared" ca="1" si="179"/>
        <v>-87.002914478136333</v>
      </c>
      <c r="T415" s="116">
        <f t="shared" ca="1" si="180"/>
        <v>92.997085521863667</v>
      </c>
      <c r="V415" s="72">
        <f t="shared" ca="1" si="181"/>
        <v>39131.5</v>
      </c>
      <c r="W415" s="72">
        <f t="shared" si="182"/>
        <v>1531274292.25</v>
      </c>
      <c r="Y415" s="110">
        <f t="shared" si="183"/>
        <v>6.3260756877592126</v>
      </c>
      <c r="Z415" s="111">
        <f t="shared" si="184"/>
        <v>-16.55976031693147</v>
      </c>
      <c r="AA415" s="72">
        <f t="shared" si="185"/>
        <v>163.44023968306854</v>
      </c>
      <c r="AB415" s="110">
        <f t="shared" ca="1" si="186"/>
        <v>-15.313668962176795</v>
      </c>
      <c r="AC415" s="111">
        <f t="shared" ca="1" si="187"/>
        <v>-70.443154161204916</v>
      </c>
      <c r="AD415" s="72">
        <f t="shared" ca="1" si="188"/>
        <v>109.55684583879508</v>
      </c>
    </row>
    <row r="416" spans="1:30">
      <c r="A416" s="118">
        <v>39358</v>
      </c>
      <c r="B416" s="101">
        <f t="shared" ca="1" si="162"/>
        <v>2018.3082600110199</v>
      </c>
      <c r="C416" s="102">
        <f t="shared" ca="1" si="163"/>
        <v>1.5703008623206498</v>
      </c>
      <c r="D416" s="102">
        <f t="shared" si="164"/>
        <v>52.312156769499772</v>
      </c>
      <c r="E416" s="103">
        <f t="shared" si="165"/>
        <v>1.5516791468610143</v>
      </c>
      <c r="F416" s="101">
        <f t="shared" si="166"/>
        <v>2967.5234529394702</v>
      </c>
      <c r="G416" s="104">
        <f t="shared" si="167"/>
        <v>1.5704593454585114</v>
      </c>
      <c r="H416" s="113">
        <f t="shared" si="168"/>
        <v>3.8418327421105682</v>
      </c>
      <c r="I416" s="114">
        <f t="shared" si="169"/>
        <v>1.3074712608999581</v>
      </c>
      <c r="J416" s="101">
        <f t="shared" si="170"/>
        <v>1.0003057239068542</v>
      </c>
      <c r="K416" s="104">
        <f t="shared" si="171"/>
        <v>2.4724321544297052E-2</v>
      </c>
      <c r="L416" s="102">
        <f t="shared" si="172"/>
        <v>1</v>
      </c>
      <c r="M416" s="103">
        <f t="shared" si="173"/>
        <v>1.2982914369463501E-9</v>
      </c>
      <c r="N416" s="101">
        <f t="shared" si="174"/>
        <v>1</v>
      </c>
      <c r="O416" s="104">
        <f t="shared" si="175"/>
        <v>2.0772662991141601E-10</v>
      </c>
      <c r="P416" s="105">
        <f t="shared" ca="1" si="176"/>
        <v>2.4151939241021112</v>
      </c>
      <c r="Q416" s="106">
        <f t="shared" ca="1" si="177"/>
        <v>1.2133238275311276</v>
      </c>
      <c r="R416" s="107">
        <f t="shared" ca="1" si="178"/>
        <v>-24.950357164274187</v>
      </c>
      <c r="S416" s="108">
        <f t="shared" ca="1" si="179"/>
        <v>-87.069986823577722</v>
      </c>
      <c r="T416" s="116">
        <f t="shared" ca="1" si="180"/>
        <v>92.930013176422278</v>
      </c>
      <c r="V416" s="72">
        <f t="shared" ca="1" si="181"/>
        <v>39358</v>
      </c>
      <c r="W416" s="72">
        <f t="shared" si="182"/>
        <v>1549052164</v>
      </c>
      <c r="Y416" s="110">
        <f t="shared" si="183"/>
        <v>6.3226304458649327</v>
      </c>
      <c r="Z416" s="111">
        <f t="shared" si="184"/>
        <v>-16.484706539599085</v>
      </c>
      <c r="AA416" s="72">
        <f t="shared" si="185"/>
        <v>163.51529346040093</v>
      </c>
      <c r="AB416" s="110">
        <f t="shared" ca="1" si="186"/>
        <v>-15.355387263257613</v>
      </c>
      <c r="AC416" s="111">
        <f t="shared" ca="1" si="187"/>
        <v>-70.585280283978662</v>
      </c>
      <c r="AD416" s="72">
        <f t="shared" ca="1" si="188"/>
        <v>109.41471971602134</v>
      </c>
    </row>
    <row r="417" spans="1:30">
      <c r="A417" s="118">
        <v>39584.5</v>
      </c>
      <c r="B417" s="101">
        <f t="shared" ca="1" si="162"/>
        <v>2029.9233499289744</v>
      </c>
      <c r="C417" s="102">
        <f t="shared" ca="1" si="163"/>
        <v>1.5703036973365074</v>
      </c>
      <c r="D417" s="102">
        <f t="shared" si="164"/>
        <v>52.613096505096983</v>
      </c>
      <c r="E417" s="103">
        <f t="shared" si="165"/>
        <v>1.5517885077314626</v>
      </c>
      <c r="F417" s="101">
        <f t="shared" si="166"/>
        <v>2984.6011496207771</v>
      </c>
      <c r="G417" s="104">
        <f t="shared" si="167"/>
        <v>1.5704612736442145</v>
      </c>
      <c r="H417" s="113">
        <f t="shared" si="168"/>
        <v>3.8624480219637065</v>
      </c>
      <c r="I417" s="114">
        <f t="shared" si="169"/>
        <v>1.3089098553533272</v>
      </c>
      <c r="J417" s="101">
        <f t="shared" si="170"/>
        <v>1.0003092522864532</v>
      </c>
      <c r="K417" s="104">
        <f t="shared" si="171"/>
        <v>2.486654821236E-2</v>
      </c>
      <c r="L417" s="102">
        <f t="shared" si="172"/>
        <v>1</v>
      </c>
      <c r="M417" s="103">
        <f t="shared" si="173"/>
        <v>1.3057629296662126E-9</v>
      </c>
      <c r="N417" s="101">
        <f t="shared" si="174"/>
        <v>1</v>
      </c>
      <c r="O417" s="104">
        <f t="shared" si="175"/>
        <v>2.0892206874659401E-10</v>
      </c>
      <c r="P417" s="105">
        <f t="shared" ca="1" si="176"/>
        <v>2.4267736451587867</v>
      </c>
      <c r="Q417" s="106">
        <f t="shared" ca="1" si="177"/>
        <v>1.2158914276873602</v>
      </c>
      <c r="R417" s="107">
        <f t="shared" ca="1" si="178"/>
        <v>-24.995310095728314</v>
      </c>
      <c r="S417" s="108">
        <f t="shared" ca="1" si="179"/>
        <v>-87.136830067954875</v>
      </c>
      <c r="T417" s="116">
        <f t="shared" ca="1" si="180"/>
        <v>92.863169932045125</v>
      </c>
      <c r="V417" s="72">
        <f t="shared" ca="1" si="181"/>
        <v>39584.5</v>
      </c>
      <c r="W417" s="72">
        <f t="shared" si="182"/>
        <v>1566932640.25</v>
      </c>
      <c r="Y417" s="110">
        <f t="shared" si="183"/>
        <v>6.3192408594905825</v>
      </c>
      <c r="Z417" s="111">
        <f t="shared" si="184"/>
        <v>-16.410540613262881</v>
      </c>
      <c r="AA417" s="72">
        <f t="shared" si="185"/>
        <v>163.58945938673713</v>
      </c>
      <c r="AB417" s="110">
        <f t="shared" ca="1" si="186"/>
        <v>-15.39695060833739</v>
      </c>
      <c r="AC417" s="111">
        <f t="shared" ca="1" si="187"/>
        <v>-70.726289454692008</v>
      </c>
      <c r="AD417" s="72">
        <f t="shared" ca="1" si="188"/>
        <v>109.27371054530799</v>
      </c>
    </row>
    <row r="418" spans="1:30">
      <c r="A418" s="118">
        <v>39811</v>
      </c>
      <c r="B418" s="101">
        <f t="shared" ca="1" si="162"/>
        <v>2041.5384398630586</v>
      </c>
      <c r="C418" s="102">
        <f t="shared" ca="1" si="163"/>
        <v>1.5703065000933942</v>
      </c>
      <c r="D418" s="102">
        <f t="shared" si="164"/>
        <v>52.914036862778879</v>
      </c>
      <c r="E418" s="103">
        <f t="shared" si="165"/>
        <v>1.5518966246572965</v>
      </c>
      <c r="F418" s="101">
        <f t="shared" si="166"/>
        <v>3001.6788463130547</v>
      </c>
      <c r="G418" s="104">
        <f t="shared" si="167"/>
        <v>1.5704631798895485</v>
      </c>
      <c r="H418" s="113">
        <f t="shared" si="168"/>
        <v>3.8830712104763294</v>
      </c>
      <c r="I418" s="114">
        <f t="shared" si="169"/>
        <v>1.3103331718298279</v>
      </c>
      <c r="J418" s="101">
        <f t="shared" si="170"/>
        <v>1.0003128009005902</v>
      </c>
      <c r="K418" s="104">
        <f t="shared" si="171"/>
        <v>2.500877387420045E-2</v>
      </c>
      <c r="L418" s="102">
        <f t="shared" si="172"/>
        <v>1</v>
      </c>
      <c r="M418" s="103">
        <f t="shared" si="173"/>
        <v>1.3132344223860751E-9</v>
      </c>
      <c r="N418" s="101">
        <f t="shared" si="174"/>
        <v>1</v>
      </c>
      <c r="O418" s="104">
        <f t="shared" si="175"/>
        <v>2.1011750758177201E-10</v>
      </c>
      <c r="P418" s="105">
        <f t="shared" ca="1" si="176"/>
        <v>2.4383656718566171</v>
      </c>
      <c r="Q418" s="106">
        <f t="shared" ca="1" si="177"/>
        <v>1.2184385736240271</v>
      </c>
      <c r="R418" s="107">
        <f t="shared" ca="1" si="178"/>
        <v>-25.040054327529823</v>
      </c>
      <c r="S418" s="108">
        <f t="shared" ca="1" si="179"/>
        <v>-87.203444845202071</v>
      </c>
      <c r="T418" s="116">
        <f t="shared" ca="1" si="180"/>
        <v>92.796555154797929</v>
      </c>
      <c r="V418" s="72">
        <f t="shared" ca="1" si="181"/>
        <v>39811</v>
      </c>
      <c r="W418" s="72">
        <f t="shared" si="182"/>
        <v>1584915721</v>
      </c>
      <c r="Y418" s="110">
        <f t="shared" si="183"/>
        <v>6.3159057314092752</v>
      </c>
      <c r="Z418" s="111">
        <f t="shared" si="184"/>
        <v>-16.337248735778886</v>
      </c>
      <c r="AA418" s="72">
        <f t="shared" si="185"/>
        <v>163.66275126422113</v>
      </c>
      <c r="AB418" s="110">
        <f t="shared" ca="1" si="186"/>
        <v>-15.43835971205759</v>
      </c>
      <c r="AC418" s="111">
        <f t="shared" ca="1" si="187"/>
        <v>-70.866196109423157</v>
      </c>
      <c r="AD418" s="72">
        <f t="shared" ca="1" si="188"/>
        <v>109.13380389057684</v>
      </c>
    </row>
    <row r="419" spans="1:30">
      <c r="A419" s="118">
        <v>40042.75</v>
      </c>
      <c r="B419" s="101">
        <f t="shared" ca="1" si="162"/>
        <v>2053.4227537524216</v>
      </c>
      <c r="C419" s="102">
        <f t="shared" ca="1" si="163"/>
        <v>1.5703093349965933</v>
      </c>
      <c r="D419" s="102">
        <f t="shared" si="164"/>
        <v>53.22195329208882</v>
      </c>
      <c r="E419" s="103">
        <f t="shared" si="165"/>
        <v>1.5520059820829808</v>
      </c>
      <c r="F419" s="101">
        <f t="shared" si="166"/>
        <v>3019.1523836683</v>
      </c>
      <c r="G419" s="104">
        <f t="shared" si="167"/>
        <v>1.5704651079986234</v>
      </c>
      <c r="H419" s="113">
        <f t="shared" si="168"/>
        <v>3.9041804749464504</v>
      </c>
      <c r="I419" s="114">
        <f t="shared" si="169"/>
        <v>1.3117739123801819</v>
      </c>
      <c r="J419" s="101">
        <f t="shared" si="170"/>
        <v>1.0003164527106398</v>
      </c>
      <c r="K419" s="104">
        <f t="shared" si="171"/>
        <v>2.5154295109874155E-2</v>
      </c>
      <c r="L419" s="102">
        <f t="shared" si="172"/>
        <v>1</v>
      </c>
      <c r="M419" s="103">
        <f t="shared" si="173"/>
        <v>1.3208790954007689E-9</v>
      </c>
      <c r="N419" s="101">
        <f t="shared" si="174"/>
        <v>1</v>
      </c>
      <c r="O419" s="104">
        <f t="shared" si="175"/>
        <v>2.1134065526412302E-10</v>
      </c>
      <c r="P419" s="105">
        <f t="shared" ca="1" si="176"/>
        <v>2.4502389661010562</v>
      </c>
      <c r="Q419" s="106">
        <f t="shared" ca="1" si="177"/>
        <v>1.221023868631065</v>
      </c>
      <c r="R419" s="107">
        <f t="shared" ca="1" si="178"/>
        <v>-25.085621631604607</v>
      </c>
      <c r="S419" s="108">
        <f t="shared" ca="1" si="179"/>
        <v>-87.271367918887208</v>
      </c>
      <c r="T419" s="116">
        <f t="shared" ca="1" si="180"/>
        <v>92.728632081112792</v>
      </c>
      <c r="V419" s="72">
        <f t="shared" ca="1" si="181"/>
        <v>40042.75</v>
      </c>
      <c r="W419" s="72">
        <f t="shared" si="182"/>
        <v>1603421827.5625</v>
      </c>
      <c r="Y419" s="110">
        <f t="shared" si="183"/>
        <v>6.3125484497430868</v>
      </c>
      <c r="Z419" s="111">
        <f t="shared" si="184"/>
        <v>-16.263148607563711</v>
      </c>
      <c r="AA419" s="72">
        <f t="shared" si="185"/>
        <v>163.73685139243628</v>
      </c>
      <c r="AB419" s="110">
        <f t="shared" ca="1" si="186"/>
        <v>-15.480569734466192</v>
      </c>
      <c r="AC419" s="111">
        <f t="shared" ca="1" si="187"/>
        <v>-71.008219311323501</v>
      </c>
      <c r="AD419" s="72">
        <f t="shared" ca="1" si="188"/>
        <v>108.9917806886765</v>
      </c>
    </row>
    <row r="420" spans="1:30">
      <c r="A420" s="118">
        <v>40274.5</v>
      </c>
      <c r="B420" s="101">
        <f t="shared" ca="1" si="162"/>
        <v>2065.3070676580969</v>
      </c>
      <c r="C420" s="102">
        <f t="shared" ca="1" si="163"/>
        <v>1.5703121372742521</v>
      </c>
      <c r="D420" s="102">
        <f t="shared" si="164"/>
        <v>53.529870350560159</v>
      </c>
      <c r="E420" s="103">
        <f t="shared" si="165"/>
        <v>1.5521140814080066</v>
      </c>
      <c r="F420" s="101">
        <f t="shared" si="166"/>
        <v>3036.6259210346407</v>
      </c>
      <c r="G420" s="104">
        <f t="shared" si="167"/>
        <v>1.5704670139180132</v>
      </c>
      <c r="H420" s="113">
        <f t="shared" si="168"/>
        <v>3.925297756281418</v>
      </c>
      <c r="I420" s="114">
        <f t="shared" si="169"/>
        <v>1.3131991540965524</v>
      </c>
      <c r="J420" s="101">
        <f t="shared" si="170"/>
        <v>1.0003201257036662</v>
      </c>
      <c r="K420" s="104">
        <f t="shared" si="171"/>
        <v>2.5299815279974575E-2</v>
      </c>
      <c r="L420" s="102">
        <f t="shared" si="172"/>
        <v>1</v>
      </c>
      <c r="M420" s="103">
        <f t="shared" si="173"/>
        <v>1.3285237684154627E-9</v>
      </c>
      <c r="N420" s="101">
        <f t="shared" si="174"/>
        <v>1</v>
      </c>
      <c r="O420" s="104">
        <f t="shared" si="175"/>
        <v>2.1256380294647401E-10</v>
      </c>
      <c r="P420" s="105">
        <f t="shared" ca="1" si="176"/>
        <v>2.4621248240079652</v>
      </c>
      <c r="Q420" s="106">
        <f t="shared" ca="1" si="177"/>
        <v>1.2235883144499704</v>
      </c>
      <c r="R420" s="107">
        <f t="shared" ca="1" si="178"/>
        <v>-25.130974413598182</v>
      </c>
      <c r="S420" s="108">
        <f t="shared" ca="1" si="179"/>
        <v>-87.339053321984451</v>
      </c>
      <c r="T420" s="116">
        <f t="shared" ca="1" si="180"/>
        <v>92.660946678015549</v>
      </c>
      <c r="V420" s="72">
        <f t="shared" ca="1" si="181"/>
        <v>40274.5</v>
      </c>
      <c r="W420" s="72">
        <f t="shared" si="182"/>
        <v>1622035350.25</v>
      </c>
      <c r="Y420" s="110">
        <f t="shared" si="183"/>
        <v>6.3092457445223129</v>
      </c>
      <c r="Z420" s="111">
        <f t="shared" si="184"/>
        <v>-16.189935164696024</v>
      </c>
      <c r="AA420" s="72">
        <f t="shared" si="185"/>
        <v>163.81006483530399</v>
      </c>
      <c r="AB420" s="110">
        <f t="shared" ca="1" si="186"/>
        <v>-15.522619811238986</v>
      </c>
      <c r="AC420" s="111">
        <f t="shared" ca="1" si="187"/>
        <v>-71.149118157288413</v>
      </c>
      <c r="AD420" s="72">
        <f t="shared" ca="1" si="188"/>
        <v>108.85088184271159</v>
      </c>
    </row>
    <row r="421" spans="1:30">
      <c r="A421" s="118">
        <v>40506.25</v>
      </c>
      <c r="B421" s="101">
        <f t="shared" ca="1" si="162"/>
        <v>2077.1913815798057</v>
      </c>
      <c r="C421" s="102">
        <f t="shared" ca="1" si="163"/>
        <v>1.5703149074863556</v>
      </c>
      <c r="D421" s="102">
        <f t="shared" si="164"/>
        <v>53.837788027397728</v>
      </c>
      <c r="E421" s="103">
        <f t="shared" si="165"/>
        <v>1.5522209442164161</v>
      </c>
      <c r="F421" s="101">
        <f t="shared" si="166"/>
        <v>3054.0994584118853</v>
      </c>
      <c r="G421" s="104">
        <f t="shared" si="167"/>
        <v>1.5704688980285826</v>
      </c>
      <c r="H421" s="113">
        <f t="shared" si="168"/>
        <v>3.9464229257866723</v>
      </c>
      <c r="I421" s="114">
        <f t="shared" si="169"/>
        <v>1.314609140037152</v>
      </c>
      <c r="J421" s="101">
        <f t="shared" si="170"/>
        <v>1.0003238198794357</v>
      </c>
      <c r="K421" s="104">
        <f t="shared" si="171"/>
        <v>2.5445334378350372E-2</v>
      </c>
      <c r="L421" s="102">
        <f t="shared" si="172"/>
        <v>1</v>
      </c>
      <c r="M421" s="103">
        <f t="shared" si="173"/>
        <v>1.3361684414301564E-9</v>
      </c>
      <c r="N421" s="101">
        <f t="shared" si="174"/>
        <v>1</v>
      </c>
      <c r="O421" s="104">
        <f t="shared" si="175"/>
        <v>2.1378695062882501E-10</v>
      </c>
      <c r="P421" s="105">
        <f t="shared" ca="1" si="176"/>
        <v>2.4740230887445565</v>
      </c>
      <c r="Q421" s="106">
        <f t="shared" ca="1" si="177"/>
        <v>1.2261321894943904</v>
      </c>
      <c r="R421" s="107">
        <f t="shared" ca="1" si="178"/>
        <v>-25.176114636548203</v>
      </c>
      <c r="S421" s="108">
        <f t="shared" ca="1" si="179"/>
        <v>-87.406501897090749</v>
      </c>
      <c r="T421" s="116">
        <f t="shared" ca="1" si="180"/>
        <v>92.593498102909251</v>
      </c>
      <c r="V421" s="72">
        <f t="shared" ca="1" si="181"/>
        <v>40506.25</v>
      </c>
      <c r="W421" s="72">
        <f t="shared" si="182"/>
        <v>1640756289.0625</v>
      </c>
      <c r="Y421" s="110">
        <f t="shared" si="183"/>
        <v>6.3059964327405211</v>
      </c>
      <c r="Z421" s="111">
        <f t="shared" si="184"/>
        <v>-16.11759450243553</v>
      </c>
      <c r="AA421" s="72">
        <f t="shared" si="185"/>
        <v>163.88240549756446</v>
      </c>
      <c r="AB421" s="110">
        <f t="shared" ca="1" si="186"/>
        <v>-15.564510722407221</v>
      </c>
      <c r="AC421" s="111">
        <f t="shared" ca="1" si="187"/>
        <v>-71.288907394655169</v>
      </c>
      <c r="AD421" s="72">
        <f t="shared" ca="1" si="188"/>
        <v>108.71109260534483</v>
      </c>
    </row>
    <row r="422" spans="1:30">
      <c r="A422" s="118">
        <v>40738</v>
      </c>
      <c r="B422" s="101">
        <f t="shared" ca="1" si="162"/>
        <v>2089.0756955172733</v>
      </c>
      <c r="C422" s="102">
        <f t="shared" ca="1" si="163"/>
        <v>1.5703176461801467</v>
      </c>
      <c r="D422" s="102">
        <f t="shared" si="164"/>
        <v>54.145706312051878</v>
      </c>
      <c r="E422" s="103">
        <f t="shared" si="165"/>
        <v>1.552326591601386</v>
      </c>
      <c r="F422" s="101">
        <f t="shared" si="166"/>
        <v>3071.5729957998478</v>
      </c>
      <c r="G422" s="104">
        <f t="shared" si="167"/>
        <v>1.5704707607025286</v>
      </c>
      <c r="H422" s="113">
        <f t="shared" si="168"/>
        <v>3.9675558574610146</v>
      </c>
      <c r="I422" s="114">
        <f t="shared" si="169"/>
        <v>1.3160041083272038</v>
      </c>
      <c r="J422" s="101">
        <f t="shared" si="170"/>
        <v>1.0003275352377134</v>
      </c>
      <c r="K422" s="104">
        <f t="shared" si="171"/>
        <v>2.5590852398850492E-2</v>
      </c>
      <c r="L422" s="102">
        <f t="shared" si="172"/>
        <v>1</v>
      </c>
      <c r="M422" s="103">
        <f t="shared" si="173"/>
        <v>1.3438131144448502E-9</v>
      </c>
      <c r="N422" s="101">
        <f t="shared" si="174"/>
        <v>1</v>
      </c>
      <c r="O422" s="104">
        <f t="shared" si="175"/>
        <v>2.1501009831117602E-10</v>
      </c>
      <c r="P422" s="105">
        <f t="shared" ca="1" si="176"/>
        <v>2.4859336064325053</v>
      </c>
      <c r="Q422" s="106">
        <f t="shared" ca="1" si="177"/>
        <v>1.228655767626389</v>
      </c>
      <c r="R422" s="107">
        <f t="shared" ca="1" si="178"/>
        <v>-25.221044236093984</v>
      </c>
      <c r="S422" s="108">
        <f t="shared" ca="1" si="179"/>
        <v>-87.473714535553796</v>
      </c>
      <c r="T422" s="116">
        <f t="shared" ca="1" si="180"/>
        <v>92.526285464446204</v>
      </c>
      <c r="V422" s="72">
        <f t="shared" ca="1" si="181"/>
        <v>40738</v>
      </c>
      <c r="W422" s="72">
        <f t="shared" si="182"/>
        <v>1659584644</v>
      </c>
      <c r="Y422" s="110">
        <f t="shared" si="183"/>
        <v>6.3027993628306209</v>
      </c>
      <c r="Z422" s="111">
        <f t="shared" si="184"/>
        <v>-16.046112998184842</v>
      </c>
      <c r="AA422" s="72">
        <f t="shared" si="185"/>
        <v>163.95388700181516</v>
      </c>
      <c r="AB422" s="110">
        <f t="shared" ca="1" si="186"/>
        <v>-15.6062432520431</v>
      </c>
      <c r="AC422" s="111">
        <f t="shared" ca="1" si="187"/>
        <v>-71.427601537368943</v>
      </c>
      <c r="AD422" s="72">
        <f t="shared" ca="1" si="188"/>
        <v>108.57239846263106</v>
      </c>
    </row>
    <row r="423" spans="1:30">
      <c r="A423" s="118">
        <v>40975.25</v>
      </c>
      <c r="B423" s="101">
        <f t="shared" ca="1" si="162"/>
        <v>2101.2420535987521</v>
      </c>
      <c r="C423" s="102">
        <f t="shared" ca="1" si="163"/>
        <v>1.5703204177790668</v>
      </c>
      <c r="D423" s="102">
        <f t="shared" si="164"/>
        <v>54.460932877123184</v>
      </c>
      <c r="E423" s="103">
        <f t="shared" si="165"/>
        <v>1.5524335087485177</v>
      </c>
      <c r="F423" s="101">
        <f t="shared" si="166"/>
        <v>3089.4612234064211</v>
      </c>
      <c r="G423" s="104">
        <f t="shared" si="167"/>
        <v>1.5704726457563112</v>
      </c>
      <c r="H423" s="113">
        <f t="shared" si="168"/>
        <v>3.9891982376890085</v>
      </c>
      <c r="I423" s="114">
        <f t="shared" si="169"/>
        <v>1.3174168697396544</v>
      </c>
      <c r="J423" s="101">
        <f t="shared" si="170"/>
        <v>1.0003313607129185</v>
      </c>
      <c r="K423" s="104">
        <f t="shared" si="171"/>
        <v>2.5739822798483167E-2</v>
      </c>
      <c r="L423" s="102">
        <f t="shared" si="172"/>
        <v>1</v>
      </c>
      <c r="M423" s="103">
        <f t="shared" si="173"/>
        <v>1.3516392144350814E-9</v>
      </c>
      <c r="N423" s="101">
        <f t="shared" si="174"/>
        <v>1</v>
      </c>
      <c r="O423" s="104">
        <f t="shared" si="175"/>
        <v>2.1626227430961302E-10</v>
      </c>
      <c r="P423" s="105">
        <f t="shared" ca="1" si="176"/>
        <v>2.498139325095571</v>
      </c>
      <c r="Q423" s="106">
        <f t="shared" ca="1" si="177"/>
        <v>1.2312184925685645</v>
      </c>
      <c r="R423" s="107">
        <f t="shared" ca="1" si="178"/>
        <v>-25.266823938180089</v>
      </c>
      <c r="S423" s="108">
        <f t="shared" ca="1" si="179"/>
        <v>-87.542278872532364</v>
      </c>
      <c r="T423" s="116">
        <f t="shared" ca="1" si="180"/>
        <v>92.457721127467636</v>
      </c>
      <c r="V423" s="72">
        <f t="shared" ca="1" si="181"/>
        <v>40975.25</v>
      </c>
      <c r="W423" s="72">
        <f t="shared" si="182"/>
        <v>1678971112.5625</v>
      </c>
      <c r="Y423" s="110">
        <f t="shared" si="183"/>
        <v>6.299579364537113</v>
      </c>
      <c r="Z423" s="111">
        <f t="shared" si="184"/>
        <v>-15.973811112130441</v>
      </c>
      <c r="AA423" s="72">
        <f t="shared" si="185"/>
        <v>164.02618888786955</v>
      </c>
      <c r="AB423" s="110">
        <f t="shared" ca="1" si="186"/>
        <v>-15.648802955835697</v>
      </c>
      <c r="AC423" s="111">
        <f t="shared" ca="1" si="187"/>
        <v>-71.568467760401859</v>
      </c>
      <c r="AD423" s="72">
        <f t="shared" ca="1" si="188"/>
        <v>108.43153223959814</v>
      </c>
    </row>
    <row r="424" spans="1:30">
      <c r="A424" s="118">
        <v>41212.5</v>
      </c>
      <c r="B424" s="101">
        <f t="shared" ca="1" si="162"/>
        <v>2113.4084116961862</v>
      </c>
      <c r="C424" s="102">
        <f t="shared" ca="1" si="163"/>
        <v>1.5703231574671981</v>
      </c>
      <c r="D424" s="102">
        <f t="shared" si="164"/>
        <v>54.776160057587056</v>
      </c>
      <c r="E424" s="103">
        <f t="shared" si="165"/>
        <v>1.5525391953180396</v>
      </c>
      <c r="F424" s="101">
        <f t="shared" si="166"/>
        <v>3107.3494510238465</v>
      </c>
      <c r="G424" s="104">
        <f t="shared" si="167"/>
        <v>1.5704745091065346</v>
      </c>
      <c r="H424" s="113">
        <f t="shared" si="168"/>
        <v>4.0108484940023512</v>
      </c>
      <c r="I424" s="114">
        <f t="shared" si="169"/>
        <v>1.3188143819582065</v>
      </c>
      <c r="J424" s="101">
        <f t="shared" si="170"/>
        <v>1.0003352083874872</v>
      </c>
      <c r="K424" s="104">
        <f t="shared" si="171"/>
        <v>2.5888792055426688E-2</v>
      </c>
      <c r="L424" s="102">
        <f t="shared" si="172"/>
        <v>1</v>
      </c>
      <c r="M424" s="103">
        <f t="shared" si="173"/>
        <v>1.3594653144253127E-9</v>
      </c>
      <c r="N424" s="101">
        <f t="shared" si="174"/>
        <v>1</v>
      </c>
      <c r="O424" s="104">
        <f t="shared" si="175"/>
        <v>2.1751445030805E-10</v>
      </c>
      <c r="P424" s="105">
        <f t="shared" ca="1" si="176"/>
        <v>2.510357568048835</v>
      </c>
      <c r="Q424" s="106">
        <f t="shared" ca="1" si="177"/>
        <v>1.233760512356749</v>
      </c>
      <c r="R424" s="107">
        <f t="shared" ca="1" si="178"/>
        <v>-25.312386920880023</v>
      </c>
      <c r="S424" s="108">
        <f t="shared" ca="1" si="179"/>
        <v>-87.610597975580262</v>
      </c>
      <c r="T424" s="116">
        <f t="shared" ca="1" si="180"/>
        <v>92.389402024419738</v>
      </c>
      <c r="V424" s="72">
        <f t="shared" ca="1" si="181"/>
        <v>41212.5</v>
      </c>
      <c r="W424" s="72">
        <f t="shared" si="182"/>
        <v>1698470156.25</v>
      </c>
      <c r="Y424" s="110">
        <f t="shared" si="183"/>
        <v>6.2964117715324353</v>
      </c>
      <c r="Z424" s="111">
        <f t="shared" si="184"/>
        <v>-15.902381631534796</v>
      </c>
      <c r="AA424" s="72">
        <f t="shared" si="185"/>
        <v>164.09761836846519</v>
      </c>
      <c r="AB424" s="110">
        <f t="shared" ca="1" si="186"/>
        <v>-15.691198345530955</v>
      </c>
      <c r="AC424" s="111">
        <f t="shared" ca="1" si="187"/>
        <v>-71.708216344045525</v>
      </c>
      <c r="AD424" s="72">
        <f t="shared" ca="1" si="188"/>
        <v>108.29178365595448</v>
      </c>
    </row>
    <row r="425" spans="1:30">
      <c r="A425" s="118">
        <v>41449.75</v>
      </c>
      <c r="B425" s="101">
        <f t="shared" ca="1" si="162"/>
        <v>2125.5747698093019</v>
      </c>
      <c r="C425" s="102">
        <f t="shared" ca="1" si="163"/>
        <v>1.5703258657924928</v>
      </c>
      <c r="D425" s="102">
        <f t="shared" si="164"/>
        <v>55.091387842879854</v>
      </c>
      <c r="E425" s="103">
        <f t="shared" si="165"/>
        <v>1.5526436724313213</v>
      </c>
      <c r="F425" s="101">
        <f t="shared" si="166"/>
        <v>3125.2376786519362</v>
      </c>
      <c r="G425" s="104">
        <f t="shared" si="167"/>
        <v>1.5704763511258795</v>
      </c>
      <c r="H425" s="113">
        <f t="shared" si="168"/>
        <v>4.032506499542527</v>
      </c>
      <c r="I425" s="114">
        <f t="shared" si="169"/>
        <v>1.3201968851832502</v>
      </c>
      <c r="J425" s="101">
        <f t="shared" si="170"/>
        <v>1.0003390782611632</v>
      </c>
      <c r="K425" s="104">
        <f t="shared" si="171"/>
        <v>2.6037760163082468E-2</v>
      </c>
      <c r="L425" s="102">
        <f t="shared" si="172"/>
        <v>1</v>
      </c>
      <c r="M425" s="103">
        <f t="shared" si="173"/>
        <v>1.3672914144155439E-9</v>
      </c>
      <c r="N425" s="101">
        <f t="shared" si="174"/>
        <v>1</v>
      </c>
      <c r="O425" s="104">
        <f t="shared" si="175"/>
        <v>2.18766626306487E-10</v>
      </c>
      <c r="P425" s="105">
        <f t="shared" ca="1" si="176"/>
        <v>2.5225881794122231</v>
      </c>
      <c r="Q425" s="106">
        <f t="shared" ca="1" si="177"/>
        <v>1.2362821065296627</v>
      </c>
      <c r="R425" s="107">
        <f t="shared" ca="1" si="178"/>
        <v>-25.357735175457073</v>
      </c>
      <c r="S425" s="108">
        <f t="shared" ca="1" si="179"/>
        <v>-87.678672940823049</v>
      </c>
      <c r="T425" s="116">
        <f t="shared" ca="1" si="180"/>
        <v>92.321327059176951</v>
      </c>
      <c r="V425" s="72">
        <f t="shared" ca="1" si="181"/>
        <v>41449.75</v>
      </c>
      <c r="W425" s="72">
        <f t="shared" si="182"/>
        <v>1718081775.0625</v>
      </c>
      <c r="Y425" s="110">
        <f t="shared" si="183"/>
        <v>6.293295444360548</v>
      </c>
      <c r="Z425" s="111">
        <f t="shared" si="184"/>
        <v>-15.831810814904236</v>
      </c>
      <c r="AA425" s="72">
        <f t="shared" si="185"/>
        <v>164.16818918509577</v>
      </c>
      <c r="AB425" s="110">
        <f t="shared" ca="1" si="186"/>
        <v>-15.733430272936122</v>
      </c>
      <c r="AC425" s="111">
        <f t="shared" ca="1" si="187"/>
        <v>-71.846862125918889</v>
      </c>
      <c r="AD425" s="72">
        <f t="shared" ca="1" si="188"/>
        <v>108.15313787408111</v>
      </c>
    </row>
    <row r="426" spans="1:30">
      <c r="A426" s="118">
        <v>41687</v>
      </c>
      <c r="B426" s="101">
        <f t="shared" ca="1" si="162"/>
        <v>2137.7411279378312</v>
      </c>
      <c r="C426" s="102">
        <f t="shared" ca="1" si="163"/>
        <v>1.5703285432904295</v>
      </c>
      <c r="D426" s="102">
        <f t="shared" si="164"/>
        <v>55.406616222678316</v>
      </c>
      <c r="E426" s="103">
        <f t="shared" si="165"/>
        <v>1.5527469607291706</v>
      </c>
      <c r="F426" s="101">
        <f t="shared" si="166"/>
        <v>3143.1259062905101</v>
      </c>
      <c r="G426" s="104">
        <f t="shared" si="167"/>
        <v>1.5704781721785419</v>
      </c>
      <c r="H426" s="113">
        <f t="shared" si="168"/>
        <v>4.0541721301168838</v>
      </c>
      <c r="I426" s="114">
        <f t="shared" si="169"/>
        <v>1.3215646147128814</v>
      </c>
      <c r="J426" s="101">
        <f t="shared" si="170"/>
        <v>1.0003429703336888</v>
      </c>
      <c r="K426" s="104">
        <f t="shared" si="171"/>
        <v>2.6186727114852235E-2</v>
      </c>
      <c r="L426" s="102">
        <f t="shared" si="172"/>
        <v>1</v>
      </c>
      <c r="M426" s="103">
        <f t="shared" si="173"/>
        <v>1.3751175144057751E-9</v>
      </c>
      <c r="N426" s="101">
        <f t="shared" si="174"/>
        <v>1</v>
      </c>
      <c r="O426" s="104">
        <f t="shared" si="175"/>
        <v>2.20018802304924E-10</v>
      </c>
      <c r="P426" s="105">
        <f t="shared" ca="1" si="176"/>
        <v>2.5348310062815678</v>
      </c>
      <c r="Q426" s="106">
        <f t="shared" ca="1" si="177"/>
        <v>1.2387835499835473</v>
      </c>
      <c r="R426" s="107">
        <f t="shared" ca="1" si="178"/>
        <v>-25.402870665547404</v>
      </c>
      <c r="S426" s="108">
        <f t="shared" ca="1" si="179"/>
        <v>-87.746504905605647</v>
      </c>
      <c r="T426" s="116">
        <f t="shared" ca="1" si="180"/>
        <v>92.253495094394353</v>
      </c>
      <c r="V426" s="72">
        <f t="shared" ca="1" si="181"/>
        <v>41687</v>
      </c>
      <c r="W426" s="72">
        <f t="shared" si="182"/>
        <v>1737805969</v>
      </c>
      <c r="Y426" s="110">
        <f t="shared" si="183"/>
        <v>6.2902292739449015</v>
      </c>
      <c r="Z426" s="111">
        <f t="shared" si="184"/>
        <v>-15.762085201139779</v>
      </c>
      <c r="AA426" s="72">
        <f t="shared" si="185"/>
        <v>164.23791479886023</v>
      </c>
      <c r="AB426" s="110">
        <f t="shared" ca="1" si="186"/>
        <v>-15.775499592610805</v>
      </c>
      <c r="AC426" s="111">
        <f t="shared" ca="1" si="187"/>
        <v>-71.98441970446585</v>
      </c>
      <c r="AD426" s="72">
        <f t="shared" ca="1" si="188"/>
        <v>108.01558029553415</v>
      </c>
    </row>
    <row r="427" spans="1:30">
      <c r="A427" s="118">
        <v>41929.75</v>
      </c>
      <c r="B427" s="101">
        <f t="shared" ca="1" si="162"/>
        <v>2150.1895302114699</v>
      </c>
      <c r="C427" s="102">
        <f t="shared" ca="1" si="163"/>
        <v>1.5703312514971155</v>
      </c>
      <c r="D427" s="102">
        <f t="shared" si="164"/>
        <v>55.729152925264799</v>
      </c>
      <c r="E427" s="103">
        <f t="shared" si="165"/>
        <v>1.5528514340523119</v>
      </c>
      <c r="F427" s="101">
        <f t="shared" si="166"/>
        <v>3161.4288241484405</v>
      </c>
      <c r="G427" s="104">
        <f t="shared" si="167"/>
        <v>1.5704800141172119</v>
      </c>
      <c r="H427" s="113">
        <f t="shared" si="168"/>
        <v>4.0763477851956731</v>
      </c>
      <c r="I427" s="114">
        <f t="shared" si="169"/>
        <v>1.3229490003676658</v>
      </c>
      <c r="J427" s="101">
        <f t="shared" si="170"/>
        <v>1.0003469756098713</v>
      </c>
      <c r="K427" s="104">
        <f t="shared" si="171"/>
        <v>2.6339146259491499E-2</v>
      </c>
      <c r="L427" s="102">
        <f t="shared" si="172"/>
        <v>1</v>
      </c>
      <c r="M427" s="103">
        <f t="shared" si="173"/>
        <v>1.3831250413715438E-9</v>
      </c>
      <c r="N427" s="101">
        <f t="shared" si="174"/>
        <v>1</v>
      </c>
      <c r="O427" s="104">
        <f t="shared" si="175"/>
        <v>2.2130000661944701E-10</v>
      </c>
      <c r="P427" s="105">
        <f t="shared" ca="1" si="176"/>
        <v>2.547370137134263</v>
      </c>
      <c r="Q427" s="106">
        <f t="shared" ca="1" si="177"/>
        <v>1.2413224077475904</v>
      </c>
      <c r="R427" s="107">
        <f t="shared" ca="1" si="178"/>
        <v>-25.448834299542938</v>
      </c>
      <c r="S427" s="108">
        <f t="shared" ca="1" si="179"/>
        <v>-87.815659082067569</v>
      </c>
      <c r="T427" s="116">
        <f t="shared" ca="1" si="180"/>
        <v>92.184340917932431</v>
      </c>
      <c r="V427" s="72">
        <f t="shared" ca="1" si="181"/>
        <v>41929.75</v>
      </c>
      <c r="W427" s="72">
        <f t="shared" si="182"/>
        <v>1758103935.0625</v>
      </c>
      <c r="Y427" s="110">
        <f t="shared" si="183"/>
        <v>6.2871428110631999</v>
      </c>
      <c r="Z427" s="111">
        <f t="shared" si="184"/>
        <v>-15.691604254453006</v>
      </c>
      <c r="AA427" s="72">
        <f t="shared" si="185"/>
        <v>164.30839574554699</v>
      </c>
      <c r="AB427" s="110">
        <f t="shared" ca="1" si="186"/>
        <v>-15.818376763724638</v>
      </c>
      <c r="AC427" s="111">
        <f t="shared" ca="1" si="187"/>
        <v>-72.124054827614543</v>
      </c>
      <c r="AD427" s="72">
        <f t="shared" ca="1" si="188"/>
        <v>107.87594517238546</v>
      </c>
    </row>
    <row r="428" spans="1:30">
      <c r="A428" s="118">
        <v>42172.5</v>
      </c>
      <c r="B428" s="101">
        <f t="shared" ca="1" si="162"/>
        <v>2162.6379325006969</v>
      </c>
      <c r="C428" s="102">
        <f t="shared" ca="1" si="163"/>
        <v>1.570333928526279</v>
      </c>
      <c r="D428" s="102">
        <f t="shared" si="164"/>
        <v>56.05169022911663</v>
      </c>
      <c r="E428" s="103">
        <f t="shared" si="165"/>
        <v>1.5529547050383767</v>
      </c>
      <c r="F428" s="101">
        <f t="shared" si="166"/>
        <v>3179.7317420169738</v>
      </c>
      <c r="G428" s="104">
        <f t="shared" si="167"/>
        <v>1.5704818348510416</v>
      </c>
      <c r="H428" s="113">
        <f t="shared" si="168"/>
        <v>4.0985311681424159</v>
      </c>
      <c r="I428" s="114">
        <f t="shared" si="169"/>
        <v>1.3243184025925385</v>
      </c>
      <c r="J428" s="101">
        <f t="shared" si="170"/>
        <v>1.0003510041255239</v>
      </c>
      <c r="K428" s="104">
        <f t="shared" si="171"/>
        <v>2.6491564180056732E-2</v>
      </c>
      <c r="L428" s="102">
        <f t="shared" si="172"/>
        <v>1</v>
      </c>
      <c r="M428" s="103">
        <f t="shared" si="173"/>
        <v>1.3911325683373126E-9</v>
      </c>
      <c r="N428" s="101">
        <f t="shared" si="174"/>
        <v>1</v>
      </c>
      <c r="O428" s="104">
        <f t="shared" si="175"/>
        <v>2.2258121093397E-10</v>
      </c>
      <c r="P428" s="105">
        <f t="shared" ca="1" si="176"/>
        <v>2.5599217418282971</v>
      </c>
      <c r="Q428" s="106">
        <f t="shared" ca="1" si="177"/>
        <v>1.2438407374204727</v>
      </c>
      <c r="R428" s="107">
        <f t="shared" ca="1" si="178"/>
        <v>-25.494579262985475</v>
      </c>
      <c r="S428" s="108">
        <f t="shared" ca="1" si="179"/>
        <v>-87.88456139025817</v>
      </c>
      <c r="T428" s="116">
        <f t="shared" ca="1" si="180"/>
        <v>92.11543860974183</v>
      </c>
      <c r="V428" s="72">
        <f t="shared" ca="1" si="181"/>
        <v>42172.5</v>
      </c>
      <c r="W428" s="72">
        <f t="shared" si="182"/>
        <v>1778519756.25</v>
      </c>
      <c r="Y428" s="110">
        <f t="shared" si="183"/>
        <v>6.2841066015915095</v>
      </c>
      <c r="Z428" s="111">
        <f t="shared" si="184"/>
        <v>-15.621980509981629</v>
      </c>
      <c r="AA428" s="72">
        <f t="shared" si="185"/>
        <v>164.37801949001837</v>
      </c>
      <c r="AB428" s="110">
        <f t="shared" ca="1" si="186"/>
        <v>-15.861085517695477</v>
      </c>
      <c r="AC428" s="111">
        <f t="shared" ca="1" si="187"/>
        <v>-72.262580880276573</v>
      </c>
      <c r="AD428" s="72">
        <f t="shared" ca="1" si="188"/>
        <v>107.73741911972343</v>
      </c>
    </row>
    <row r="429" spans="1:30">
      <c r="A429" s="118">
        <v>42415.25</v>
      </c>
      <c r="B429" s="101">
        <f t="shared" ca="1" si="162"/>
        <v>2175.0863348052458</v>
      </c>
      <c r="C429" s="102">
        <f t="shared" ca="1" si="163"/>
        <v>1.5703365749132232</v>
      </c>
      <c r="D429" s="102">
        <f t="shared" si="164"/>
        <v>56.374228123913646</v>
      </c>
      <c r="E429" s="103">
        <f t="shared" si="165"/>
        <v>1.553056794322194</v>
      </c>
      <c r="F429" s="101">
        <f t="shared" si="166"/>
        <v>3198.0346598959268</v>
      </c>
      <c r="G429" s="104">
        <f t="shared" si="167"/>
        <v>1.570483634744108</v>
      </c>
      <c r="H429" s="113">
        <f t="shared" si="168"/>
        <v>4.1207221541511343</v>
      </c>
      <c r="I429" s="114">
        <f t="shared" si="169"/>
        <v>1.3256730582767138</v>
      </c>
      <c r="J429" s="101">
        <f t="shared" si="170"/>
        <v>1.0003550558803656</v>
      </c>
      <c r="K429" s="104">
        <f t="shared" si="171"/>
        <v>2.6643980869481047E-2</v>
      </c>
      <c r="L429" s="102">
        <f t="shared" si="172"/>
        <v>1</v>
      </c>
      <c r="M429" s="103">
        <f t="shared" si="173"/>
        <v>1.3991400953030814E-9</v>
      </c>
      <c r="N429" s="101">
        <f t="shared" si="174"/>
        <v>1</v>
      </c>
      <c r="O429" s="104">
        <f t="shared" si="175"/>
        <v>2.2386241524849301E-10</v>
      </c>
      <c r="P429" s="105">
        <f t="shared" ca="1" si="176"/>
        <v>2.5724856658372932</v>
      </c>
      <c r="Q429" s="106">
        <f t="shared" ca="1" si="177"/>
        <v>1.2463388189302478</v>
      </c>
      <c r="R429" s="107">
        <f t="shared" ca="1" si="178"/>
        <v>-25.540107573152618</v>
      </c>
      <c r="S429" s="108">
        <f t="shared" ca="1" si="179"/>
        <v>-87.953213164958683</v>
      </c>
      <c r="T429" s="116">
        <f t="shared" ca="1" si="180"/>
        <v>92.046786835041317</v>
      </c>
      <c r="V429" s="72">
        <f t="shared" ca="1" si="181"/>
        <v>42415.25</v>
      </c>
      <c r="W429" s="72">
        <f t="shared" si="182"/>
        <v>1799053432.5625</v>
      </c>
      <c r="Y429" s="110">
        <f t="shared" si="183"/>
        <v>6.2811195501459558</v>
      </c>
      <c r="Z429" s="111">
        <f t="shared" si="184"/>
        <v>-15.553200415428636</v>
      </c>
      <c r="AA429" s="72">
        <f t="shared" si="185"/>
        <v>164.44679958457135</v>
      </c>
      <c r="AB429" s="110">
        <f t="shared" ca="1" si="186"/>
        <v>-15.903626776417068</v>
      </c>
      <c r="AC429" s="111">
        <f t="shared" ca="1" si="187"/>
        <v>-72.400012749530021</v>
      </c>
      <c r="AD429" s="72">
        <f t="shared" ca="1" si="188"/>
        <v>107.59998725046998</v>
      </c>
    </row>
    <row r="430" spans="1:30">
      <c r="A430" s="118">
        <v>42658</v>
      </c>
      <c r="B430" s="101">
        <f t="shared" ca="1" si="162"/>
        <v>2187.5347371248536</v>
      </c>
      <c r="C430" s="102">
        <f t="shared" ca="1" si="163"/>
        <v>1.5703391911810671</v>
      </c>
      <c r="D430" s="102">
        <f t="shared" si="164"/>
        <v>56.696766599570488</v>
      </c>
      <c r="E430" s="103">
        <f t="shared" si="165"/>
        <v>1.5531577220691397</v>
      </c>
      <c r="F430" s="101">
        <f t="shared" si="166"/>
        <v>3216.3375777851234</v>
      </c>
      <c r="G430" s="104">
        <f t="shared" si="167"/>
        <v>1.5704854141522009</v>
      </c>
      <c r="H430" s="113">
        <f t="shared" si="168"/>
        <v>4.142920621047554</v>
      </c>
      <c r="I430" s="114">
        <f t="shared" si="169"/>
        <v>1.3270131994513465</v>
      </c>
      <c r="J430" s="101">
        <f t="shared" si="170"/>
        <v>1.0003591308741142</v>
      </c>
      <c r="K430" s="104">
        <f t="shared" si="171"/>
        <v>2.679639632069792E-2</v>
      </c>
      <c r="L430" s="102">
        <f t="shared" si="172"/>
        <v>1</v>
      </c>
      <c r="M430" s="103">
        <f t="shared" si="173"/>
        <v>1.4071476222688501E-9</v>
      </c>
      <c r="N430" s="101">
        <f t="shared" si="174"/>
        <v>1</v>
      </c>
      <c r="O430" s="104">
        <f t="shared" si="175"/>
        <v>2.2514361956301602E-10</v>
      </c>
      <c r="P430" s="105">
        <f t="shared" ca="1" si="176"/>
        <v>2.5850617576225781</v>
      </c>
      <c r="Q430" s="106">
        <f t="shared" ca="1" si="177"/>
        <v>1.2488169274882737</v>
      </c>
      <c r="R430" s="107">
        <f t="shared" ca="1" si="178"/>
        <v>-25.585421219474846</v>
      </c>
      <c r="S430" s="108">
        <f t="shared" ca="1" si="179"/>
        <v>-88.021615774774247</v>
      </c>
      <c r="T430" s="116">
        <f t="shared" ca="1" si="180"/>
        <v>91.978384225225753</v>
      </c>
      <c r="V430" s="72">
        <f t="shared" ca="1" si="181"/>
        <v>42658</v>
      </c>
      <c r="W430" s="72">
        <f t="shared" si="182"/>
        <v>1819704964</v>
      </c>
      <c r="Y430" s="110">
        <f t="shared" si="183"/>
        <v>6.2781805906222496</v>
      </c>
      <c r="Z430" s="111">
        <f t="shared" si="184"/>
        <v>-15.485250696368499</v>
      </c>
      <c r="AA430" s="72">
        <f t="shared" si="185"/>
        <v>164.5147493036315</v>
      </c>
      <c r="AB430" s="110">
        <f t="shared" ca="1" si="186"/>
        <v>-15.946001463215593</v>
      </c>
      <c r="AC430" s="111">
        <f t="shared" ca="1" si="187"/>
        <v>-72.536365078405737</v>
      </c>
      <c r="AD430" s="72">
        <f t="shared" ca="1" si="188"/>
        <v>107.46363492159426</v>
      </c>
    </row>
    <row r="431" spans="1:30">
      <c r="A431" s="118">
        <v>42906.5</v>
      </c>
      <c r="B431" s="101">
        <f t="shared" ca="1" si="162"/>
        <v>2200.2780037783841</v>
      </c>
      <c r="C431" s="102">
        <f t="shared" ca="1" si="163"/>
        <v>1.5703418387562444</v>
      </c>
      <c r="D431" s="102">
        <f t="shared" si="164"/>
        <v>57.026945609894575</v>
      </c>
      <c r="E431" s="103">
        <f t="shared" si="165"/>
        <v>1.5532598579244881</v>
      </c>
      <c r="F431" s="101">
        <f t="shared" si="166"/>
        <v>3235.0740354493723</v>
      </c>
      <c r="G431" s="104">
        <f t="shared" si="167"/>
        <v>1.5704872148534179</v>
      </c>
      <c r="H431" s="113">
        <f t="shared" si="168"/>
        <v>4.1656525251976371</v>
      </c>
      <c r="I431" s="114">
        <f t="shared" si="169"/>
        <v>1.3283702874201222</v>
      </c>
      <c r="J431" s="101">
        <f t="shared" si="170"/>
        <v>1.0003633264627336</v>
      </c>
      <c r="K431" s="104">
        <f t="shared" si="171"/>
        <v>2.6952420734695452E-2</v>
      </c>
      <c r="L431" s="102">
        <f t="shared" si="172"/>
        <v>1</v>
      </c>
      <c r="M431" s="103">
        <f t="shared" si="173"/>
        <v>1.4153448228908626E-9</v>
      </c>
      <c r="N431" s="101">
        <f t="shared" si="174"/>
        <v>1</v>
      </c>
      <c r="O431" s="104">
        <f t="shared" si="175"/>
        <v>2.2645517166253801E-10</v>
      </c>
      <c r="P431" s="105">
        <f t="shared" ca="1" si="176"/>
        <v>2.5979481866763581</v>
      </c>
      <c r="Q431" s="106">
        <f t="shared" ca="1" si="177"/>
        <v>1.2513333290645718</v>
      </c>
      <c r="R431" s="107">
        <f t="shared" ca="1" si="178"/>
        <v>-25.631587903689596</v>
      </c>
      <c r="S431" s="108">
        <f t="shared" ca="1" si="179"/>
        <v>-88.091382005740741</v>
      </c>
      <c r="T431" s="116">
        <f t="shared" ca="1" si="180"/>
        <v>91.908617994259259</v>
      </c>
      <c r="V431" s="72">
        <f t="shared" ca="1" si="181"/>
        <v>42906.5</v>
      </c>
      <c r="W431" s="72">
        <f t="shared" si="182"/>
        <v>1840967742.25</v>
      </c>
      <c r="Y431" s="110">
        <f t="shared" si="183"/>
        <v>6.275220747106137</v>
      </c>
      <c r="Z431" s="111">
        <f t="shared" si="184"/>
        <v>-15.416537995859603</v>
      </c>
      <c r="AA431" s="72">
        <f t="shared" si="185"/>
        <v>164.58346200414039</v>
      </c>
      <c r="AB431" s="110">
        <f t="shared" ca="1" si="186"/>
        <v>-15.989208303914229</v>
      </c>
      <c r="AC431" s="111">
        <f t="shared" ca="1" si="187"/>
        <v>-72.674844009881113</v>
      </c>
      <c r="AD431" s="72">
        <f t="shared" ca="1" si="188"/>
        <v>107.32515599011889</v>
      </c>
    </row>
    <row r="432" spans="1:30">
      <c r="A432" s="118">
        <v>43155</v>
      </c>
      <c r="B432" s="101">
        <f t="shared" ca="1" si="162"/>
        <v>2213.0212704471596</v>
      </c>
      <c r="C432" s="102">
        <f t="shared" ca="1" si="163"/>
        <v>1.5703444558402948</v>
      </c>
      <c r="D432" s="102">
        <f t="shared" si="164"/>
        <v>57.357125208259504</v>
      </c>
      <c r="E432" s="103">
        <f t="shared" si="165"/>
        <v>1.553360817878999</v>
      </c>
      <c r="F432" s="101">
        <f t="shared" si="166"/>
        <v>3253.8104931239909</v>
      </c>
      <c r="G432" s="104">
        <f t="shared" si="167"/>
        <v>1.5704889948166345</v>
      </c>
      <c r="H432" s="113">
        <f t="shared" si="168"/>
        <v>4.1883920178952234</v>
      </c>
      <c r="I432" s="114">
        <f t="shared" si="169"/>
        <v>1.3297126421159404</v>
      </c>
      <c r="J432" s="101">
        <f t="shared" si="170"/>
        <v>1.000367546403611</v>
      </c>
      <c r="K432" s="104">
        <f t="shared" si="171"/>
        <v>2.7108443836147335E-2</v>
      </c>
      <c r="L432" s="102">
        <f t="shared" si="172"/>
        <v>1</v>
      </c>
      <c r="M432" s="103">
        <f t="shared" si="173"/>
        <v>1.4235420235128751E-9</v>
      </c>
      <c r="N432" s="101">
        <f t="shared" si="174"/>
        <v>1</v>
      </c>
      <c r="O432" s="104">
        <f t="shared" si="175"/>
        <v>2.2776672376206002E-10</v>
      </c>
      <c r="P432" s="105">
        <f t="shared" ca="1" si="176"/>
        <v>2.6108470547133384</v>
      </c>
      <c r="Q432" s="106">
        <f t="shared" ca="1" si="177"/>
        <v>1.2538293691679636</v>
      </c>
      <c r="R432" s="107">
        <f t="shared" ca="1" si="178"/>
        <v>-25.677533766169155</v>
      </c>
      <c r="S432" s="108">
        <f t="shared" ca="1" si="179"/>
        <v>-88.160890128342572</v>
      </c>
      <c r="T432" s="116">
        <f t="shared" ca="1" si="180"/>
        <v>91.839109871657428</v>
      </c>
      <c r="V432" s="72">
        <f t="shared" ca="1" si="181"/>
        <v>43155</v>
      </c>
      <c r="W432" s="72">
        <f t="shared" si="182"/>
        <v>1862354025</v>
      </c>
      <c r="Y432" s="110">
        <f t="shared" si="183"/>
        <v>6.2723091299598277</v>
      </c>
      <c r="Z432" s="111">
        <f t="shared" si="184"/>
        <v>-15.348668186307316</v>
      </c>
      <c r="AA432" s="72">
        <f t="shared" si="185"/>
        <v>164.65133181369268</v>
      </c>
      <c r="AB432" s="110">
        <f t="shared" ca="1" si="186"/>
        <v>-16.032242549247478</v>
      </c>
      <c r="AC432" s="111">
        <f t="shared" ca="1" si="187"/>
        <v>-72.812221942035237</v>
      </c>
      <c r="AD432" s="72">
        <f t="shared" ca="1" si="188"/>
        <v>107.18777805796476</v>
      </c>
    </row>
    <row r="433" spans="1:30">
      <c r="A433" s="118">
        <v>43403.5</v>
      </c>
      <c r="B433" s="101">
        <f t="shared" ca="1" si="162"/>
        <v>2225.7645371309191</v>
      </c>
      <c r="C433" s="102">
        <f t="shared" ca="1" si="163"/>
        <v>1.5703470429569342</v>
      </c>
      <c r="D433" s="102">
        <f t="shared" si="164"/>
        <v>57.687305384568113</v>
      </c>
      <c r="E433" s="103">
        <f t="shared" si="165"/>
        <v>1.5534606221218228</v>
      </c>
      <c r="F433" s="101">
        <f t="shared" si="166"/>
        <v>3272.5469508087999</v>
      </c>
      <c r="G433" s="104">
        <f t="shared" si="167"/>
        <v>1.5704907543980466</v>
      </c>
      <c r="H433" s="113">
        <f t="shared" si="168"/>
        <v>4.2111389762094005</v>
      </c>
      <c r="I433" s="114">
        <f t="shared" si="169"/>
        <v>1.3310404974120618</v>
      </c>
      <c r="J433" s="101">
        <f t="shared" si="170"/>
        <v>1.0003717906964378</v>
      </c>
      <c r="K433" s="104">
        <f t="shared" si="171"/>
        <v>2.7264465617474025E-2</v>
      </c>
      <c r="L433" s="102">
        <f t="shared" si="172"/>
        <v>1</v>
      </c>
      <c r="M433" s="103">
        <f t="shared" si="173"/>
        <v>1.4317392241348876E-9</v>
      </c>
      <c r="N433" s="101">
        <f t="shared" si="174"/>
        <v>1</v>
      </c>
      <c r="O433" s="104">
        <f t="shared" si="175"/>
        <v>2.2907827586158201E-10</v>
      </c>
      <c r="P433" s="105">
        <f t="shared" ca="1" si="176"/>
        <v>2.6237582084772737</v>
      </c>
      <c r="Q433" s="106">
        <f t="shared" ca="1" si="177"/>
        <v>1.25630532825508</v>
      </c>
      <c r="R433" s="107">
        <f t="shared" ca="1" si="178"/>
        <v>-25.723260854068975</v>
      </c>
      <c r="S433" s="108">
        <f t="shared" ca="1" si="179"/>
        <v>-88.230141704838175</v>
      </c>
      <c r="T433" s="116">
        <f t="shared" ca="1" si="180"/>
        <v>91.769858295161825</v>
      </c>
      <c r="V433" s="72">
        <f t="shared" ca="1" si="181"/>
        <v>43403.5</v>
      </c>
      <c r="W433" s="72">
        <f t="shared" si="182"/>
        <v>1883863812.25</v>
      </c>
      <c r="Y433" s="110">
        <f t="shared" si="183"/>
        <v>6.2694446849221155</v>
      </c>
      <c r="Z433" s="111">
        <f t="shared" si="184"/>
        <v>-15.281627887735112</v>
      </c>
      <c r="AA433" s="72">
        <f t="shared" si="185"/>
        <v>164.71837211226489</v>
      </c>
      <c r="AB433" s="110">
        <f t="shared" ca="1" si="186"/>
        <v>-16.075105192109586</v>
      </c>
      <c r="AC433" s="111">
        <f t="shared" ca="1" si="187"/>
        <v>-72.948513817103063</v>
      </c>
      <c r="AD433" s="72">
        <f t="shared" ca="1" si="188"/>
        <v>107.05148618289694</v>
      </c>
    </row>
    <row r="434" spans="1:30">
      <c r="A434" s="118">
        <v>43652</v>
      </c>
      <c r="B434" s="101">
        <f t="shared" ca="1" si="162"/>
        <v>2238.5078038294064</v>
      </c>
      <c r="C434" s="102">
        <f t="shared" ca="1" si="163"/>
        <v>1.570349600617954</v>
      </c>
      <c r="D434" s="102">
        <f t="shared" si="164"/>
        <v>58.017486128953117</v>
      </c>
      <c r="E434" s="103">
        <f t="shared" si="165"/>
        <v>1.5535592903826128</v>
      </c>
      <c r="F434" s="101">
        <f t="shared" si="166"/>
        <v>3291.2834085036261</v>
      </c>
      <c r="G434" s="104">
        <f t="shared" si="167"/>
        <v>1.5704924939457405</v>
      </c>
      <c r="H434" s="113">
        <f t="shared" si="168"/>
        <v>4.2338932798111566</v>
      </c>
      <c r="I434" s="114">
        <f t="shared" si="169"/>
        <v>1.3323540823611144</v>
      </c>
      <c r="J434" s="101">
        <f t="shared" si="170"/>
        <v>1.0003760593409043</v>
      </c>
      <c r="K434" s="104">
        <f t="shared" si="171"/>
        <v>2.7420486071096359E-2</v>
      </c>
      <c r="L434" s="102">
        <f t="shared" si="172"/>
        <v>1</v>
      </c>
      <c r="M434" s="103">
        <f t="shared" si="173"/>
        <v>1.4399364247569001E-9</v>
      </c>
      <c r="N434" s="101">
        <f t="shared" si="174"/>
        <v>1</v>
      </c>
      <c r="O434" s="104">
        <f t="shared" si="175"/>
        <v>2.30389827961104E-10</v>
      </c>
      <c r="P434" s="105">
        <f t="shared" ca="1" si="176"/>
        <v>2.6366814977141226</v>
      </c>
      <c r="Q434" s="106">
        <f t="shared" ca="1" si="177"/>
        <v>1.2587614819890884</v>
      </c>
      <c r="R434" s="107">
        <f t="shared" ca="1" si="178"/>
        <v>-25.768771186375222</v>
      </c>
      <c r="S434" s="108">
        <f t="shared" ca="1" si="179"/>
        <v>-88.299138324221971</v>
      </c>
      <c r="T434" s="116">
        <f t="shared" ca="1" si="180"/>
        <v>91.700861675778029</v>
      </c>
      <c r="V434" s="72">
        <f t="shared" ca="1" si="181"/>
        <v>43652</v>
      </c>
      <c r="W434" s="72">
        <f t="shared" si="182"/>
        <v>1905497104</v>
      </c>
      <c r="Y434" s="110">
        <f t="shared" si="183"/>
        <v>6.2666263859952558</v>
      </c>
      <c r="Z434" s="111">
        <f t="shared" si="184"/>
        <v>-15.215403995903689</v>
      </c>
      <c r="AA434" s="72">
        <f t="shared" si="185"/>
        <v>164.7845960040963</v>
      </c>
      <c r="AB434" s="110">
        <f t="shared" ca="1" si="186"/>
        <v>-16.117797225488975</v>
      </c>
      <c r="AC434" s="111">
        <f t="shared" ca="1" si="187"/>
        <v>-73.083734328318243</v>
      </c>
      <c r="AD434" s="72">
        <f t="shared" ca="1" si="188"/>
        <v>106.91626567168176</v>
      </c>
    </row>
    <row r="435" spans="1:30">
      <c r="A435" s="118">
        <v>43906</v>
      </c>
      <c r="B435" s="101">
        <f t="shared" ca="1" si="162"/>
        <v>2251.5331146750136</v>
      </c>
      <c r="C435" s="102">
        <f t="shared" ca="1" si="163"/>
        <v>1.5703521849671087</v>
      </c>
      <c r="D435" s="102">
        <f t="shared" si="164"/>
        <v>58.354975273690897</v>
      </c>
      <c r="E435" s="103">
        <f t="shared" si="165"/>
        <v>1.553658988546577</v>
      </c>
      <c r="F435" s="101">
        <f t="shared" si="166"/>
        <v>3310.4345564191767</v>
      </c>
      <c r="G435" s="104">
        <f t="shared" si="167"/>
        <v>1.5704942516448928</v>
      </c>
      <c r="H435" s="113">
        <f t="shared" si="168"/>
        <v>4.2571586681168263</v>
      </c>
      <c r="I435" s="114">
        <f t="shared" si="169"/>
        <v>1.3336822265526087</v>
      </c>
      <c r="J435" s="101">
        <f t="shared" si="170"/>
        <v>1.0003804476281462</v>
      </c>
      <c r="K435" s="104">
        <f t="shared" si="171"/>
        <v>2.757995831371406E-2</v>
      </c>
      <c r="L435" s="102">
        <f t="shared" si="172"/>
        <v>1</v>
      </c>
      <c r="M435" s="103">
        <f t="shared" si="173"/>
        <v>1.4483150523544502E-9</v>
      </c>
      <c r="N435" s="101">
        <f t="shared" si="174"/>
        <v>1</v>
      </c>
      <c r="O435" s="104">
        <f t="shared" si="175"/>
        <v>2.3173040837671202E-10</v>
      </c>
      <c r="P435" s="105">
        <f t="shared" ca="1" si="176"/>
        <v>2.6499032034670065</v>
      </c>
      <c r="Q435" s="106">
        <f t="shared" ca="1" si="177"/>
        <v>1.2612518116127192</v>
      </c>
      <c r="R435" s="107">
        <f t="shared" ca="1" si="178"/>
        <v>-25.815066857831074</v>
      </c>
      <c r="S435" s="108">
        <f t="shared" ca="1" si="179"/>
        <v>-88.3694002276455</v>
      </c>
      <c r="T435" s="116">
        <f t="shared" ca="1" si="180"/>
        <v>91.6305997723545</v>
      </c>
      <c r="V435" s="72">
        <f t="shared" ca="1" si="181"/>
        <v>43906</v>
      </c>
      <c r="W435" s="72">
        <f t="shared" si="182"/>
        <v>1927736836</v>
      </c>
      <c r="Y435" s="110">
        <f t="shared" si="183"/>
        <v>6.2637923601692798</v>
      </c>
      <c r="Z435" s="111">
        <f t="shared" si="184"/>
        <v>-15.148544733861154</v>
      </c>
      <c r="AA435" s="72">
        <f t="shared" si="185"/>
        <v>164.85145526613886</v>
      </c>
      <c r="AB435" s="110">
        <f t="shared" ca="1" si="186"/>
        <v>-16.16125887111885</v>
      </c>
      <c r="AC435" s="111">
        <f t="shared" ca="1" si="187"/>
        <v>-73.220855493784384</v>
      </c>
      <c r="AD435" s="72">
        <f t="shared" ca="1" si="188"/>
        <v>106.77914450621562</v>
      </c>
    </row>
    <row r="436" spans="1:30">
      <c r="A436" s="118">
        <v>44160</v>
      </c>
      <c r="B436" s="101">
        <f t="shared" ca="1" si="162"/>
        <v>2264.5584255354852</v>
      </c>
      <c r="C436" s="102">
        <f t="shared" ca="1" si="163"/>
        <v>1.57035473958689</v>
      </c>
      <c r="D436" s="102">
        <f t="shared" si="164"/>
        <v>58.692464991790494</v>
      </c>
      <c r="E436" s="103">
        <f t="shared" si="165"/>
        <v>1.5537575401552968</v>
      </c>
      <c r="F436" s="101">
        <f t="shared" si="166"/>
        <v>3329.5857043448373</v>
      </c>
      <c r="G436" s="104">
        <f t="shared" si="167"/>
        <v>1.5704959891241381</v>
      </c>
      <c r="H436" s="113">
        <f t="shared" si="168"/>
        <v>4.2804314842697053</v>
      </c>
      <c r="I436" s="114">
        <f t="shared" si="169"/>
        <v>1.3349959307321757</v>
      </c>
      <c r="J436" s="101">
        <f t="shared" si="170"/>
        <v>1.0003848613562356</v>
      </c>
      <c r="K436" s="104">
        <f t="shared" si="171"/>
        <v>2.7739429153194634E-2</v>
      </c>
      <c r="L436" s="102">
        <f t="shared" si="172"/>
        <v>1</v>
      </c>
      <c r="M436" s="103">
        <f t="shared" si="173"/>
        <v>1.4566936799520001E-9</v>
      </c>
      <c r="N436" s="101">
        <f t="shared" si="174"/>
        <v>1</v>
      </c>
      <c r="O436" s="104">
        <f t="shared" si="175"/>
        <v>2.3307098879231999E-10</v>
      </c>
      <c r="P436" s="105">
        <f t="shared" ca="1" si="176"/>
        <v>2.6631372797029025</v>
      </c>
      <c r="Q436" s="106">
        <f t="shared" ca="1" si="177"/>
        <v>1.2637220169368544</v>
      </c>
      <c r="R436" s="107">
        <f t="shared" ca="1" si="178"/>
        <v>-25.861140250447274</v>
      </c>
      <c r="S436" s="108">
        <f t="shared" ca="1" si="179"/>
        <v>-88.439399195881293</v>
      </c>
      <c r="T436" s="116">
        <f t="shared" ca="1" si="180"/>
        <v>91.560600804118707</v>
      </c>
      <c r="V436" s="72">
        <f t="shared" ca="1" si="181"/>
        <v>44160</v>
      </c>
      <c r="W436" s="72">
        <f t="shared" si="182"/>
        <v>1950105600</v>
      </c>
      <c r="Y436" s="110">
        <f t="shared" si="183"/>
        <v>6.2610044647133716</v>
      </c>
      <c r="Z436" s="111">
        <f t="shared" si="184"/>
        <v>-15.082511584649964</v>
      </c>
      <c r="AA436" s="72">
        <f t="shared" si="185"/>
        <v>164.91748841535002</v>
      </c>
      <c r="AB436" s="110">
        <f t="shared" ca="1" si="186"/>
        <v>-16.204544368279141</v>
      </c>
      <c r="AC436" s="111">
        <f t="shared" ca="1" si="187"/>
        <v>-73.356887611231386</v>
      </c>
      <c r="AD436" s="72">
        <f t="shared" ca="1" si="188"/>
        <v>106.64311238876861</v>
      </c>
    </row>
    <row r="437" spans="1:30">
      <c r="A437" s="118">
        <v>44414</v>
      </c>
      <c r="B437" s="101">
        <f t="shared" ca="1" si="162"/>
        <v>2277.5837364105669</v>
      </c>
      <c r="C437" s="102">
        <f t="shared" ca="1" si="163"/>
        <v>1.5703572649873578</v>
      </c>
      <c r="D437" s="102">
        <f t="shared" si="164"/>
        <v>59.029955273417727</v>
      </c>
      <c r="E437" s="103">
        <f t="shared" si="165"/>
        <v>1.5538549648723439</v>
      </c>
      <c r="F437" s="101">
        <f t="shared" si="166"/>
        <v>3348.7368522804336</v>
      </c>
      <c r="G437" s="104">
        <f t="shared" si="167"/>
        <v>1.5704977067303845</v>
      </c>
      <c r="H437" s="113">
        <f t="shared" si="168"/>
        <v>4.3037116077689754</v>
      </c>
      <c r="I437" s="114">
        <f t="shared" si="169"/>
        <v>1.3362954246598535</v>
      </c>
      <c r="J437" s="101">
        <f t="shared" si="170"/>
        <v>1.0003893005248361</v>
      </c>
      <c r="K437" s="104">
        <f t="shared" si="171"/>
        <v>2.7898898581445727E-2</v>
      </c>
      <c r="L437" s="102">
        <f t="shared" si="172"/>
        <v>1</v>
      </c>
      <c r="M437" s="103">
        <f t="shared" si="173"/>
        <v>1.4650723075495502E-9</v>
      </c>
      <c r="N437" s="101">
        <f t="shared" si="174"/>
        <v>1</v>
      </c>
      <c r="O437" s="104">
        <f t="shared" si="175"/>
        <v>2.3441156920792802E-10</v>
      </c>
      <c r="P437" s="105">
        <f t="shared" ca="1" si="176"/>
        <v>2.676383575267415</v>
      </c>
      <c r="Q437" s="106">
        <f t="shared" ca="1" si="177"/>
        <v>1.2661723774091489</v>
      </c>
      <c r="R437" s="107">
        <f t="shared" ca="1" si="178"/>
        <v>-25.906993432631843</v>
      </c>
      <c r="S437" s="108">
        <f t="shared" ca="1" si="179"/>
        <v>-88.509136997817393</v>
      </c>
      <c r="T437" s="116">
        <f t="shared" ca="1" si="180"/>
        <v>91.490863002182607</v>
      </c>
      <c r="V437" s="72">
        <f t="shared" ca="1" si="181"/>
        <v>44414</v>
      </c>
      <c r="W437" s="72">
        <f t="shared" si="182"/>
        <v>1972603396</v>
      </c>
      <c r="Y437" s="110">
        <f t="shared" si="183"/>
        <v>6.2582616898196841</v>
      </c>
      <c r="Z437" s="111">
        <f t="shared" si="184"/>
        <v>-15.017291403402304</v>
      </c>
      <c r="AA437" s="72">
        <f t="shared" si="185"/>
        <v>164.98270859659769</v>
      </c>
      <c r="AB437" s="110">
        <f t="shared" ca="1" si="186"/>
        <v>-16.24765477557002</v>
      </c>
      <c r="AC437" s="111">
        <f t="shared" ca="1" si="187"/>
        <v>-73.491845594415082</v>
      </c>
      <c r="AD437" s="72">
        <f t="shared" ca="1" si="188"/>
        <v>106.50815440558492</v>
      </c>
    </row>
    <row r="438" spans="1:30">
      <c r="A438" s="118">
        <v>44668</v>
      </c>
      <c r="B438" s="101">
        <f t="shared" ca="1" si="162"/>
        <v>2290.6090473000081</v>
      </c>
      <c r="C438" s="102">
        <f t="shared" ca="1" si="163"/>
        <v>1.5703597616669698</v>
      </c>
      <c r="D438" s="102">
        <f t="shared" si="164"/>
        <v>59.367446108962028</v>
      </c>
      <c r="E438" s="103">
        <f t="shared" si="165"/>
        <v>1.5539512819142445</v>
      </c>
      <c r="F438" s="101">
        <f t="shared" si="166"/>
        <v>3367.8880002257979</v>
      </c>
      <c r="G438" s="104">
        <f t="shared" si="167"/>
        <v>1.570499404802649</v>
      </c>
      <c r="H438" s="113">
        <f t="shared" si="168"/>
        <v>4.3269989206696646</v>
      </c>
      <c r="I438" s="114">
        <f t="shared" si="169"/>
        <v>1.3375809333438429</v>
      </c>
      <c r="J438" s="101">
        <f t="shared" si="170"/>
        <v>1.0003937651336092</v>
      </c>
      <c r="K438" s="104">
        <f t="shared" si="171"/>
        <v>2.8058366590375399E-2</v>
      </c>
      <c r="L438" s="102">
        <f t="shared" si="172"/>
        <v>1</v>
      </c>
      <c r="M438" s="103">
        <f t="shared" si="173"/>
        <v>1.4734509351471001E-9</v>
      </c>
      <c r="N438" s="101">
        <f t="shared" si="174"/>
        <v>1</v>
      </c>
      <c r="O438" s="104">
        <f t="shared" si="175"/>
        <v>2.3575214962353599E-10</v>
      </c>
      <c r="P438" s="105">
        <f t="shared" ca="1" si="176"/>
        <v>2.6896419420016273</v>
      </c>
      <c r="Q438" s="106">
        <f t="shared" ca="1" si="177"/>
        <v>1.2686031676429106</v>
      </c>
      <c r="R438" s="107">
        <f t="shared" ca="1" si="178"/>
        <v>-25.952628444428814</v>
      </c>
      <c r="S438" s="108">
        <f t="shared" ca="1" si="179"/>
        <v>-88.578615422111199</v>
      </c>
      <c r="T438" s="116">
        <f t="shared" ca="1" si="180"/>
        <v>91.421384577888801</v>
      </c>
      <c r="V438" s="72">
        <f t="shared" ca="1" si="181"/>
        <v>44668</v>
      </c>
      <c r="W438" s="72">
        <f t="shared" si="182"/>
        <v>1995230224</v>
      </c>
      <c r="Y438" s="110">
        <f t="shared" si="183"/>
        <v>6.2555630527885855</v>
      </c>
      <c r="Z438" s="111">
        <f t="shared" si="184"/>
        <v>-14.952871317058522</v>
      </c>
      <c r="AA438" s="72">
        <f t="shared" si="185"/>
        <v>165.04712868294149</v>
      </c>
      <c r="AB438" s="110">
        <f t="shared" ca="1" si="186"/>
        <v>-16.290591150335896</v>
      </c>
      <c r="AC438" s="111">
        <f t="shared" ca="1" si="187"/>
        <v>-73.625744105052704</v>
      </c>
      <c r="AD438" s="72">
        <f t="shared" ca="1" si="188"/>
        <v>106.3742558949473</v>
      </c>
    </row>
    <row r="439" spans="1:30">
      <c r="A439" s="118">
        <v>44928.25</v>
      </c>
      <c r="B439" s="101">
        <f t="shared" ca="1" si="162"/>
        <v>2303.9548629011729</v>
      </c>
      <c r="C439" s="102">
        <f t="shared" ca="1" si="163"/>
        <v>1.5703622905003927</v>
      </c>
      <c r="D439" s="102">
        <f t="shared" si="164"/>
        <v>59.713241909695398</v>
      </c>
      <c r="E439" s="103">
        <f t="shared" si="165"/>
        <v>1.5540488397060299</v>
      </c>
      <c r="F439" s="101">
        <f t="shared" si="166"/>
        <v>3387.5103870577273</v>
      </c>
      <c r="G439" s="104">
        <f t="shared" si="167"/>
        <v>1.5705011247437546</v>
      </c>
      <c r="H439" s="113">
        <f t="shared" si="168"/>
        <v>4.3508665843757477</v>
      </c>
      <c r="I439" s="114">
        <f t="shared" si="169"/>
        <v>1.3388837983962389</v>
      </c>
      <c r="J439" s="101">
        <f t="shared" si="170"/>
        <v>1.0003983659863824</v>
      </c>
      <c r="K439" s="104">
        <f t="shared" si="171"/>
        <v>2.8221757036248719E-2</v>
      </c>
      <c r="L439" s="102">
        <f t="shared" si="172"/>
        <v>1</v>
      </c>
      <c r="M439" s="103">
        <f t="shared" si="173"/>
        <v>1.4820357297623063E-9</v>
      </c>
      <c r="N439" s="101">
        <f t="shared" si="174"/>
        <v>1</v>
      </c>
      <c r="O439" s="104">
        <f t="shared" si="175"/>
        <v>2.3712571676196902E-10</v>
      </c>
      <c r="P439" s="105">
        <f t="shared" ca="1" si="176"/>
        <v>2.7032389165875284</v>
      </c>
      <c r="Q439" s="106">
        <f t="shared" ca="1" si="177"/>
        <v>1.2710737543215798</v>
      </c>
      <c r="R439" s="107">
        <f t="shared" ca="1" si="178"/>
        <v>-25.999162180057862</v>
      </c>
      <c r="S439" s="108">
        <f t="shared" ca="1" si="179"/>
        <v>-88.649536312692689</v>
      </c>
      <c r="T439" s="116">
        <f t="shared" ca="1" si="180"/>
        <v>91.350463687307311</v>
      </c>
      <c r="V439" s="72">
        <f t="shared" ca="1" si="181"/>
        <v>44928.25</v>
      </c>
      <c r="W439" s="72">
        <f t="shared" si="182"/>
        <v>2018547648.0625</v>
      </c>
      <c r="Y439" s="110">
        <f t="shared" si="183"/>
        <v>6.2528427925997834</v>
      </c>
      <c r="Z439" s="111">
        <f t="shared" si="184"/>
        <v>-14.887682776121128</v>
      </c>
      <c r="AA439" s="72">
        <f t="shared" si="185"/>
        <v>165.11231722387888</v>
      </c>
      <c r="AB439" s="110">
        <f t="shared" ca="1" si="186"/>
        <v>-16.334404625776141</v>
      </c>
      <c r="AC439" s="111">
        <f t="shared" ca="1" si="187"/>
        <v>-73.761853536571536</v>
      </c>
      <c r="AD439" s="72">
        <f t="shared" ca="1" si="188"/>
        <v>106.23814646342846</v>
      </c>
    </row>
    <row r="440" spans="1:30">
      <c r="A440" s="118">
        <v>45188.5</v>
      </c>
      <c r="B440" s="101">
        <f t="shared" ca="1" si="162"/>
        <v>2317.3006785169014</v>
      </c>
      <c r="C440" s="102">
        <f t="shared" ca="1" si="163"/>
        <v>1.5703647902056623</v>
      </c>
      <c r="D440" s="102">
        <f t="shared" si="164"/>
        <v>60.059038272206557</v>
      </c>
      <c r="E440" s="103">
        <f t="shared" si="165"/>
        <v>1.5541452740997987</v>
      </c>
      <c r="F440" s="101">
        <f t="shared" si="166"/>
        <v>3407.1327738995619</v>
      </c>
      <c r="G440" s="104">
        <f t="shared" si="167"/>
        <v>1.5705028248738626</v>
      </c>
      <c r="H440" s="113">
        <f t="shared" si="168"/>
        <v>4.3747415528985325</v>
      </c>
      <c r="I440" s="114">
        <f t="shared" si="169"/>
        <v>1.34017244495346</v>
      </c>
      <c r="J440" s="101">
        <f t="shared" si="170"/>
        <v>1.0004029935459822</v>
      </c>
      <c r="K440" s="104">
        <f t="shared" si="171"/>
        <v>2.8385145974895023E-2</v>
      </c>
      <c r="L440" s="102">
        <f t="shared" si="172"/>
        <v>1</v>
      </c>
      <c r="M440" s="103">
        <f t="shared" si="173"/>
        <v>1.4906205243775126E-9</v>
      </c>
      <c r="N440" s="101">
        <f t="shared" si="174"/>
        <v>1</v>
      </c>
      <c r="O440" s="104">
        <f t="shared" si="175"/>
        <v>2.38499283900402E-10</v>
      </c>
      <c r="P440" s="105">
        <f t="shared" ca="1" si="176"/>
        <v>2.7168482581531852</v>
      </c>
      <c r="Q440" s="106">
        <f t="shared" ca="1" si="177"/>
        <v>1.2735243643423997</v>
      </c>
      <c r="R440" s="107">
        <f t="shared" ca="1" si="178"/>
        <v>-26.045471123624516</v>
      </c>
      <c r="S440" s="108">
        <f t="shared" ca="1" si="179"/>
        <v>-88.720188760455372</v>
      </c>
      <c r="T440" s="116">
        <f t="shared" ca="1" si="180"/>
        <v>91.279811239544628</v>
      </c>
      <c r="V440" s="72">
        <f t="shared" ca="1" si="181"/>
        <v>45188.5</v>
      </c>
      <c r="W440" s="72">
        <f t="shared" si="182"/>
        <v>2042000532.25</v>
      </c>
      <c r="Y440" s="110">
        <f t="shared" si="183"/>
        <v>6.250166864004731</v>
      </c>
      <c r="Z440" s="111">
        <f t="shared" si="184"/>
        <v>-14.82330767350494</v>
      </c>
      <c r="AA440" s="72">
        <f t="shared" si="185"/>
        <v>165.17669232649507</v>
      </c>
      <c r="AB440" s="110">
        <f t="shared" ca="1" si="186"/>
        <v>-16.378037640747742</v>
      </c>
      <c r="AC440" s="111">
        <f t="shared" ca="1" si="187"/>
        <v>-73.896881086950401</v>
      </c>
      <c r="AD440" s="72">
        <f t="shared" ca="1" si="188"/>
        <v>106.1031189130496</v>
      </c>
    </row>
    <row r="441" spans="1:30">
      <c r="A441" s="118">
        <v>45448.75</v>
      </c>
      <c r="B441" s="101">
        <f t="shared" ca="1" si="162"/>
        <v>2330.646494146944</v>
      </c>
      <c r="C441" s="102">
        <f t="shared" ca="1" si="163"/>
        <v>1.5703672612831623</v>
      </c>
      <c r="D441" s="102">
        <f t="shared" si="164"/>
        <v>60.404835186847571</v>
      </c>
      <c r="E441" s="103">
        <f t="shared" si="165"/>
        <v>1.5542406043869441</v>
      </c>
      <c r="F441" s="101">
        <f t="shared" si="166"/>
        <v>3426.7551607511327</v>
      </c>
      <c r="G441" s="104">
        <f t="shared" si="167"/>
        <v>1.5705045055333</v>
      </c>
      <c r="H441" s="113">
        <f t="shared" si="168"/>
        <v>4.3986237072901773</v>
      </c>
      <c r="I441" s="114">
        <f t="shared" si="169"/>
        <v>1.3414471002966935</v>
      </c>
      <c r="J441" s="101">
        <f t="shared" si="170"/>
        <v>1.0004076478120381</v>
      </c>
      <c r="K441" s="104">
        <f t="shared" si="171"/>
        <v>2.8548533397611636E-2</v>
      </c>
      <c r="L441" s="102">
        <f t="shared" si="172"/>
        <v>1</v>
      </c>
      <c r="M441" s="103">
        <f t="shared" si="173"/>
        <v>1.4992053189927189E-9</v>
      </c>
      <c r="N441" s="101">
        <f t="shared" si="174"/>
        <v>1</v>
      </c>
      <c r="O441" s="104">
        <f t="shared" si="175"/>
        <v>2.3987285103883504E-10</v>
      </c>
      <c r="P441" s="105">
        <f t="shared" ca="1" si="176"/>
        <v>2.7304698166836001</v>
      </c>
      <c r="Q441" s="106">
        <f t="shared" ca="1" si="177"/>
        <v>1.2759552779222607</v>
      </c>
      <c r="R441" s="107">
        <f t="shared" ca="1" si="178"/>
        <v>-26.091557380463847</v>
      </c>
      <c r="S441" s="108">
        <f t="shared" ca="1" si="179"/>
        <v>-88.790574740746763</v>
      </c>
      <c r="T441" s="116">
        <f t="shared" ca="1" si="180"/>
        <v>91.209425259253237</v>
      </c>
      <c r="V441" s="72">
        <f t="shared" ca="1" si="181"/>
        <v>45448.75</v>
      </c>
      <c r="W441" s="72">
        <f t="shared" si="182"/>
        <v>2065588876.5625</v>
      </c>
      <c r="Y441" s="110">
        <f t="shared" si="183"/>
        <v>6.2475342929732545</v>
      </c>
      <c r="Z441" s="111">
        <f t="shared" si="184"/>
        <v>-14.75973300595779</v>
      </c>
      <c r="AA441" s="72">
        <f t="shared" si="185"/>
        <v>165.2402669940422</v>
      </c>
      <c r="AB441" s="110">
        <f t="shared" ca="1" si="186"/>
        <v>-16.421491326555596</v>
      </c>
      <c r="AC441" s="111">
        <f t="shared" ca="1" si="187"/>
        <v>-74.03084173478895</v>
      </c>
      <c r="AD441" s="72">
        <f t="shared" ca="1" si="188"/>
        <v>105.96915826521105</v>
      </c>
    </row>
    <row r="442" spans="1:30">
      <c r="A442" s="118">
        <v>45709</v>
      </c>
      <c r="B442" s="101">
        <f t="shared" ca="1" si="162"/>
        <v>2343.992309791056</v>
      </c>
      <c r="C442" s="102">
        <f t="shared" ca="1" si="163"/>
        <v>1.5703697042218798</v>
      </c>
      <c r="D442" s="102">
        <f t="shared" si="164"/>
        <v>60.750632644190148</v>
      </c>
      <c r="E442" s="103">
        <f t="shared" si="165"/>
        <v>1.5543348494197078</v>
      </c>
      <c r="F442" s="101">
        <f t="shared" si="166"/>
        <v>3446.3775476122719</v>
      </c>
      <c r="G442" s="104">
        <f t="shared" si="167"/>
        <v>1.5705061670546427</v>
      </c>
      <c r="H442" s="113">
        <f t="shared" si="168"/>
        <v>4.4225129311367573</v>
      </c>
      <c r="I442" s="114">
        <f t="shared" si="169"/>
        <v>1.342707986980362</v>
      </c>
      <c r="J442" s="101">
        <f t="shared" si="170"/>
        <v>1.0004123287841773</v>
      </c>
      <c r="K442" s="104">
        <f t="shared" si="171"/>
        <v>2.8711919295696373E-2</v>
      </c>
      <c r="L442" s="102">
        <f t="shared" si="172"/>
        <v>1</v>
      </c>
      <c r="M442" s="103">
        <f t="shared" si="173"/>
        <v>1.5077901136079251E-9</v>
      </c>
      <c r="N442" s="101">
        <f t="shared" si="174"/>
        <v>1</v>
      </c>
      <c r="O442" s="104">
        <f t="shared" si="175"/>
        <v>2.4124641817726802E-10</v>
      </c>
      <c r="P442" s="105">
        <f t="shared" ca="1" si="176"/>
        <v>2.7441034451785233</v>
      </c>
      <c r="Q442" s="106">
        <f t="shared" ca="1" si="177"/>
        <v>1.2783667703627006</v>
      </c>
      <c r="R442" s="107">
        <f t="shared" ca="1" si="178"/>
        <v>-26.137423027037347</v>
      </c>
      <c r="S442" s="108">
        <f t="shared" ca="1" si="179"/>
        <v>-88.860696242173518</v>
      </c>
      <c r="T442" s="116">
        <f t="shared" ca="1" si="180"/>
        <v>91.139303757826482</v>
      </c>
      <c r="V442" s="72">
        <f t="shared" ca="1" si="181"/>
        <v>45709</v>
      </c>
      <c r="W442" s="72">
        <f t="shared" si="182"/>
        <v>2089312681</v>
      </c>
      <c r="Y442" s="110">
        <f t="shared" si="183"/>
        <v>6.2449441317179861</v>
      </c>
      <c r="Z442" s="111">
        <f t="shared" si="184"/>
        <v>-14.696946040607145</v>
      </c>
      <c r="AA442" s="72">
        <f t="shared" si="185"/>
        <v>165.30305395939286</v>
      </c>
      <c r="AB442" s="110">
        <f t="shared" ca="1" si="186"/>
        <v>-16.464766811873833</v>
      </c>
      <c r="AC442" s="111">
        <f t="shared" ca="1" si="187"/>
        <v>-74.163750201566401</v>
      </c>
      <c r="AD442" s="72">
        <f t="shared" ca="1" si="188"/>
        <v>105.8362497984336</v>
      </c>
    </row>
    <row r="443" spans="1:30">
      <c r="A443" s="118">
        <v>45975.25</v>
      </c>
      <c r="B443" s="101">
        <f t="shared" ca="1" si="162"/>
        <v>2357.6458099600059</v>
      </c>
      <c r="C443" s="102">
        <f t="shared" ca="1" si="163"/>
        <v>1.5703721748608954</v>
      </c>
      <c r="D443" s="102">
        <f t="shared" si="164"/>
        <v>61.104402929211908</v>
      </c>
      <c r="E443" s="103">
        <f t="shared" si="165"/>
        <v>1.554430163387037</v>
      </c>
      <c r="F443" s="101">
        <f t="shared" si="166"/>
        <v>3466.4523238055913</v>
      </c>
      <c r="G443" s="104">
        <f t="shared" si="167"/>
        <v>1.5705078474158489</v>
      </c>
      <c r="H443" s="113">
        <f t="shared" si="168"/>
        <v>4.4469601121892079</v>
      </c>
      <c r="I443" s="114">
        <f t="shared" si="169"/>
        <v>1.3439839218778795</v>
      </c>
      <c r="J443" s="101">
        <f t="shared" si="170"/>
        <v>1.0004171453113258</v>
      </c>
      <c r="K443" s="104">
        <f t="shared" si="171"/>
        <v>2.8879070428802764E-2</v>
      </c>
      <c r="L443" s="102">
        <f t="shared" si="172"/>
        <v>1</v>
      </c>
      <c r="M443" s="103">
        <f t="shared" si="173"/>
        <v>1.5165728285600815E-9</v>
      </c>
      <c r="N443" s="101">
        <f t="shared" si="174"/>
        <v>1</v>
      </c>
      <c r="O443" s="104">
        <f t="shared" si="175"/>
        <v>2.4265165256961299E-10</v>
      </c>
      <c r="P443" s="105">
        <f t="shared" ca="1" si="176"/>
        <v>2.7580637340144256</v>
      </c>
      <c r="Q443" s="106">
        <f t="shared" ca="1" si="177"/>
        <v>1.2808140432790369</v>
      </c>
      <c r="R443" s="107">
        <f t="shared" ca="1" si="178"/>
        <v>-26.184119932432559</v>
      </c>
      <c r="S443" s="108">
        <f t="shared" ca="1" si="179"/>
        <v>-88.932162767898703</v>
      </c>
      <c r="T443" s="116">
        <f t="shared" ca="1" si="180"/>
        <v>91.067837232101297</v>
      </c>
      <c r="V443" s="72">
        <f t="shared" ca="1" si="181"/>
        <v>45975.25</v>
      </c>
      <c r="W443" s="72">
        <f t="shared" si="182"/>
        <v>2113723612.5625</v>
      </c>
      <c r="Y443" s="110">
        <f t="shared" si="183"/>
        <v>6.2423371808860146</v>
      </c>
      <c r="Z443" s="111">
        <f t="shared" si="184"/>
        <v>-14.633513687623745</v>
      </c>
      <c r="AA443" s="72">
        <f t="shared" si="185"/>
        <v>165.36648631237625</v>
      </c>
      <c r="AB443" s="110">
        <f t="shared" ca="1" si="186"/>
        <v>-16.508856766437066</v>
      </c>
      <c r="AC443" s="111">
        <f t="shared" ca="1" si="187"/>
        <v>-74.29864908027497</v>
      </c>
      <c r="AD443" s="72">
        <f t="shared" ca="1" si="188"/>
        <v>105.70135091972503</v>
      </c>
    </row>
    <row r="444" spans="1:30">
      <c r="A444" s="118">
        <v>46241.5</v>
      </c>
      <c r="B444" s="101">
        <f t="shared" ca="1" si="162"/>
        <v>2371.2993101431807</v>
      </c>
      <c r="C444" s="102">
        <f t="shared" ca="1" si="163"/>
        <v>1.5703746170489516</v>
      </c>
      <c r="D444" s="102">
        <f t="shared" si="164"/>
        <v>61.458173762961209</v>
      </c>
      <c r="E444" s="103">
        <f t="shared" si="165"/>
        <v>1.5545243800462758</v>
      </c>
      <c r="F444" s="101">
        <f t="shared" si="166"/>
        <v>3486.5271000085854</v>
      </c>
      <c r="G444" s="104">
        <f t="shared" si="167"/>
        <v>1.5705095084266389</v>
      </c>
      <c r="H444" s="113">
        <f t="shared" si="168"/>
        <v>4.4714144537645817</v>
      </c>
      <c r="I444" s="114">
        <f t="shared" si="169"/>
        <v>1.3452459025349179</v>
      </c>
      <c r="J444" s="101">
        <f t="shared" si="170"/>
        <v>1.0004219897893607</v>
      </c>
      <c r="K444" s="104">
        <f t="shared" si="171"/>
        <v>2.9046219947742331E-2</v>
      </c>
      <c r="L444" s="102">
        <f t="shared" si="172"/>
        <v>1</v>
      </c>
      <c r="M444" s="103">
        <f t="shared" si="173"/>
        <v>1.5253555435122376E-9</v>
      </c>
      <c r="N444" s="101">
        <f t="shared" si="174"/>
        <v>1</v>
      </c>
      <c r="O444" s="104">
        <f t="shared" si="175"/>
        <v>2.4405688696195802E-10</v>
      </c>
      <c r="P444" s="105">
        <f t="shared" ca="1" si="176"/>
        <v>2.7720363538806962</v>
      </c>
      <c r="Q444" s="106">
        <f t="shared" ca="1" si="177"/>
        <v>1.2832415568327256</v>
      </c>
      <c r="R444" s="107">
        <f t="shared" ca="1" si="178"/>
        <v>-26.230590244667216</v>
      </c>
      <c r="S444" s="108">
        <f t="shared" ca="1" si="179"/>
        <v>-89.003356724444188</v>
      </c>
      <c r="T444" s="116">
        <f t="shared" ca="1" si="180"/>
        <v>90.996643275555812</v>
      </c>
      <c r="V444" s="72">
        <f t="shared" ca="1" si="181"/>
        <v>46241.5</v>
      </c>
      <c r="W444" s="72">
        <f t="shared" si="182"/>
        <v>2138276322.25</v>
      </c>
      <c r="Y444" s="110">
        <f t="shared" si="183"/>
        <v>6.2397726915395682</v>
      </c>
      <c r="Z444" s="111">
        <f t="shared" si="184"/>
        <v>-14.570879652544912</v>
      </c>
      <c r="AA444" s="72">
        <f t="shared" si="185"/>
        <v>165.4291203474551</v>
      </c>
      <c r="AB444" s="110">
        <f t="shared" ca="1" si="186"/>
        <v>-16.552762589325283</v>
      </c>
      <c r="AC444" s="111">
        <f t="shared" ca="1" si="187"/>
        <v>-74.432477071899257</v>
      </c>
      <c r="AD444" s="72">
        <f t="shared" ca="1" si="188"/>
        <v>105.56752292810074</v>
      </c>
    </row>
    <row r="445" spans="1:30">
      <c r="A445" s="118">
        <v>46507.75</v>
      </c>
      <c r="B445" s="101">
        <f t="shared" ca="1" si="162"/>
        <v>2384.9528103403372</v>
      </c>
      <c r="C445" s="102">
        <f t="shared" ca="1" si="163"/>
        <v>1.570377031274681</v>
      </c>
      <c r="D445" s="102">
        <f t="shared" si="164"/>
        <v>61.811945136016369</v>
      </c>
      <c r="E445" s="103">
        <f t="shared" si="165"/>
        <v>1.5546175182365709</v>
      </c>
      <c r="F445" s="101">
        <f t="shared" si="166"/>
        <v>3506.6018762210892</v>
      </c>
      <c r="G445" s="104">
        <f t="shared" si="167"/>
        <v>1.5705111504193476</v>
      </c>
      <c r="H445" s="113">
        <f t="shared" si="168"/>
        <v>4.4958758390185469</v>
      </c>
      <c r="I445" s="114">
        <f t="shared" si="169"/>
        <v>1.3464941526674643</v>
      </c>
      <c r="J445" s="101">
        <f t="shared" si="170"/>
        <v>1.0004268622178762</v>
      </c>
      <c r="K445" s="104">
        <f t="shared" si="171"/>
        <v>2.9213367843198636E-2</v>
      </c>
      <c r="L445" s="102">
        <f t="shared" si="172"/>
        <v>1</v>
      </c>
      <c r="M445" s="103">
        <f t="shared" si="173"/>
        <v>1.5341382584643939E-9</v>
      </c>
      <c r="N445" s="101">
        <f t="shared" si="174"/>
        <v>1</v>
      </c>
      <c r="O445" s="104">
        <f t="shared" si="175"/>
        <v>2.4546212135430299E-10</v>
      </c>
      <c r="P445" s="105">
        <f t="shared" ca="1" si="176"/>
        <v>2.7860211567313407</v>
      </c>
      <c r="Q445" s="106">
        <f t="shared" ca="1" si="177"/>
        <v>1.2856495904769936</v>
      </c>
      <c r="R445" s="107">
        <f t="shared" ca="1" si="178"/>
        <v>-26.27683609694995</v>
      </c>
      <c r="S445" s="108">
        <f t="shared" ca="1" si="179"/>
        <v>-89.074280272419074</v>
      </c>
      <c r="T445" s="116">
        <f t="shared" ca="1" si="180"/>
        <v>90.925719727580926</v>
      </c>
      <c r="V445" s="72">
        <f t="shared" ca="1" si="181"/>
        <v>46507.75</v>
      </c>
      <c r="W445" s="72">
        <f t="shared" si="182"/>
        <v>2162970810.0625</v>
      </c>
      <c r="Y445" s="110">
        <f t="shared" si="183"/>
        <v>6.2372497287328255</v>
      </c>
      <c r="Z445" s="111">
        <f t="shared" si="184"/>
        <v>-14.509031135896334</v>
      </c>
      <c r="AA445" s="72">
        <f t="shared" si="185"/>
        <v>165.49096886410368</v>
      </c>
      <c r="AB445" s="110">
        <f t="shared" ca="1" si="186"/>
        <v>-16.596485478801274</v>
      </c>
      <c r="AC445" s="111">
        <f t="shared" ca="1" si="187"/>
        <v>-74.565249136522723</v>
      </c>
      <c r="AD445" s="72">
        <f t="shared" ca="1" si="188"/>
        <v>105.43475086347728</v>
      </c>
    </row>
    <row r="446" spans="1:30">
      <c r="A446" s="118">
        <v>46774</v>
      </c>
      <c r="B446" s="101">
        <f t="shared" ca="1" si="162"/>
        <v>2398.6063105512353</v>
      </c>
      <c r="C446" s="102">
        <f t="shared" ca="1" si="163"/>
        <v>1.5703794180155901</v>
      </c>
      <c r="D446" s="102">
        <f t="shared" si="164"/>
        <v>62.165717039170204</v>
      </c>
      <c r="E446" s="103">
        <f t="shared" si="165"/>
        <v>1.554709596368306</v>
      </c>
      <c r="F446" s="101">
        <f t="shared" si="166"/>
        <v>3526.6766524429399</v>
      </c>
      <c r="G446" s="104">
        <f t="shared" si="167"/>
        <v>1.5705127737187428</v>
      </c>
      <c r="H446" s="113">
        <f t="shared" si="168"/>
        <v>4.5203441536026423</v>
      </c>
      <c r="I446" s="114">
        <f t="shared" si="169"/>
        <v>1.3477288913209193</v>
      </c>
      <c r="J446" s="101">
        <f t="shared" si="170"/>
        <v>1.0004317625964636</v>
      </c>
      <c r="K446" s="104">
        <f t="shared" si="171"/>
        <v>2.9380514105855769E-2</v>
      </c>
      <c r="L446" s="102">
        <f t="shared" si="172"/>
        <v>1</v>
      </c>
      <c r="M446" s="103">
        <f t="shared" si="173"/>
        <v>1.5429209734165501E-9</v>
      </c>
      <c r="N446" s="101">
        <f t="shared" si="174"/>
        <v>1</v>
      </c>
      <c r="O446" s="104">
        <f t="shared" si="175"/>
        <v>2.4686735574664802E-10</v>
      </c>
      <c r="P446" s="105">
        <f t="shared" ca="1" si="176"/>
        <v>2.8000179975330952</v>
      </c>
      <c r="Q446" s="106">
        <f t="shared" ca="1" si="177"/>
        <v>1.288038418705072</v>
      </c>
      <c r="R446" s="107">
        <f t="shared" ca="1" si="178"/>
        <v>-26.322859593244019</v>
      </c>
      <c r="S446" s="108">
        <f t="shared" ca="1" si="179"/>
        <v>-89.14493557934594</v>
      </c>
      <c r="T446" s="116">
        <f t="shared" ca="1" si="180"/>
        <v>90.85506442065406</v>
      </c>
      <c r="V446" s="72">
        <f t="shared" ca="1" si="181"/>
        <v>46774</v>
      </c>
      <c r="W446" s="72">
        <f t="shared" si="182"/>
        <v>2187807076</v>
      </c>
      <c r="Y446" s="110">
        <f t="shared" si="183"/>
        <v>6.2347673827607997</v>
      </c>
      <c r="Z446" s="111">
        <f t="shared" si="184"/>
        <v>-14.447955605375075</v>
      </c>
      <c r="AA446" s="72">
        <f t="shared" si="185"/>
        <v>165.55204439462491</v>
      </c>
      <c r="AB446" s="110">
        <f t="shared" ca="1" si="186"/>
        <v>-16.640026629123312</v>
      </c>
      <c r="AC446" s="111">
        <f t="shared" ca="1" si="187"/>
        <v>-74.696979973970855</v>
      </c>
      <c r="AD446" s="72">
        <f t="shared" ca="1" si="188"/>
        <v>105.30302002602915</v>
      </c>
    </row>
    <row r="447" spans="1:30">
      <c r="A447" s="118">
        <v>47046.25</v>
      </c>
      <c r="B447" s="101">
        <f t="shared" ca="1" si="162"/>
        <v>2412.5674952878962</v>
      </c>
      <c r="C447" s="102">
        <f t="shared" ca="1" si="163"/>
        <v>1.5703818306074997</v>
      </c>
      <c r="D447" s="102">
        <f t="shared" si="164"/>
        <v>62.527461805680232</v>
      </c>
      <c r="E447" s="103">
        <f t="shared" si="165"/>
        <v>1.5548026720834349</v>
      </c>
      <c r="F447" s="101">
        <f t="shared" si="166"/>
        <v>3547.2038179975989</v>
      </c>
      <c r="G447" s="104">
        <f t="shared" si="167"/>
        <v>1.5705144146002346</v>
      </c>
      <c r="H447" s="113">
        <f t="shared" si="168"/>
        <v>4.5453709155608149</v>
      </c>
      <c r="I447" s="114">
        <f t="shared" si="169"/>
        <v>1.3489777068734428</v>
      </c>
      <c r="J447" s="101">
        <f t="shared" si="170"/>
        <v>1.0004368023076504</v>
      </c>
      <c r="K447" s="104">
        <f t="shared" si="171"/>
        <v>2.9551425346742519E-2</v>
      </c>
      <c r="L447" s="102">
        <f t="shared" si="172"/>
        <v>1</v>
      </c>
      <c r="M447" s="103">
        <f t="shared" si="173"/>
        <v>1.5519016087056564E-9</v>
      </c>
      <c r="N447" s="101">
        <f t="shared" si="174"/>
        <v>1</v>
      </c>
      <c r="O447" s="104">
        <f t="shared" si="175"/>
        <v>2.4830425739290503E-10</v>
      </c>
      <c r="P447" s="105">
        <f t="shared" ca="1" si="176"/>
        <v>2.8143425600088481</v>
      </c>
      <c r="Q447" s="106">
        <f t="shared" ca="1" si="177"/>
        <v>1.2904615010760574</v>
      </c>
      <c r="R447" s="107">
        <f t="shared" ca="1" si="178"/>
        <v>-26.369692471953528</v>
      </c>
      <c r="S447" s="108">
        <f t="shared" ca="1" si="179"/>
        <v>-89.216908005756437</v>
      </c>
      <c r="T447" s="116">
        <f t="shared" ca="1" si="180"/>
        <v>90.783091994243563</v>
      </c>
      <c r="V447" s="72">
        <f t="shared" ca="1" si="181"/>
        <v>47046.25</v>
      </c>
      <c r="W447" s="72">
        <f t="shared" si="182"/>
        <v>2213349639.0625</v>
      </c>
      <c r="Y447" s="110">
        <f t="shared" si="183"/>
        <v>6.232270174552367</v>
      </c>
      <c r="Z447" s="111">
        <f t="shared" si="184"/>
        <v>-14.3862902526808</v>
      </c>
      <c r="AA447" s="72">
        <f t="shared" si="185"/>
        <v>165.61370974731921</v>
      </c>
      <c r="AB447" s="110">
        <f t="shared" ca="1" si="186"/>
        <v>-16.684362299624389</v>
      </c>
      <c r="AC447" s="111">
        <f t="shared" ca="1" si="187"/>
        <v>-74.830617753075643</v>
      </c>
      <c r="AD447" s="72">
        <f t="shared" ca="1" si="188"/>
        <v>105.16938224692436</v>
      </c>
    </row>
    <row r="448" spans="1:30">
      <c r="A448" s="118">
        <v>47318.5</v>
      </c>
      <c r="B448" s="101">
        <f t="shared" ca="1" si="162"/>
        <v>2426.5286800384383</v>
      </c>
      <c r="C448" s="102">
        <f t="shared" ca="1" si="163"/>
        <v>1.5703842154374119</v>
      </c>
      <c r="D448" s="102">
        <f t="shared" si="164"/>
        <v>62.889207107639614</v>
      </c>
      <c r="E448" s="103">
        <f t="shared" si="165"/>
        <v>1.5548946770368415</v>
      </c>
      <c r="F448" s="101">
        <f t="shared" si="166"/>
        <v>3567.7309835616993</v>
      </c>
      <c r="G448" s="104">
        <f t="shared" si="167"/>
        <v>1.5705160365998956</v>
      </c>
      <c r="H448" s="113">
        <f t="shared" si="168"/>
        <v>4.5704046885687069</v>
      </c>
      <c r="I448" s="114">
        <f t="shared" si="169"/>
        <v>1.3502128438983827</v>
      </c>
      <c r="J448" s="101">
        <f t="shared" si="170"/>
        <v>1.0004418712419536</v>
      </c>
      <c r="K448" s="104">
        <f t="shared" si="171"/>
        <v>2.9722334860711189E-2</v>
      </c>
      <c r="L448" s="102">
        <f t="shared" si="172"/>
        <v>1</v>
      </c>
      <c r="M448" s="103">
        <f t="shared" si="173"/>
        <v>1.5608822439947626E-9</v>
      </c>
      <c r="N448" s="101">
        <f t="shared" si="174"/>
        <v>1</v>
      </c>
      <c r="O448" s="104">
        <f t="shared" si="175"/>
        <v>2.49741159039162E-10</v>
      </c>
      <c r="P448" s="105">
        <f t="shared" ca="1" si="176"/>
        <v>2.8286794117474474</v>
      </c>
      <c r="Q448" s="106">
        <f t="shared" ca="1" si="177"/>
        <v>1.2928650677201183</v>
      </c>
      <c r="R448" s="107">
        <f t="shared" ca="1" si="178"/>
        <v>-26.41629721818078</v>
      </c>
      <c r="S448" s="108">
        <f t="shared" ca="1" si="179"/>
        <v>-89.288604563968235</v>
      </c>
      <c r="T448" s="116">
        <f t="shared" ca="1" si="180"/>
        <v>90.711395436031765</v>
      </c>
      <c r="V448" s="72">
        <f t="shared" ca="1" si="181"/>
        <v>47318.5</v>
      </c>
      <c r="W448" s="72">
        <f t="shared" si="182"/>
        <v>2239040442.25</v>
      </c>
      <c r="Y448" s="110">
        <f t="shared" si="183"/>
        <v>6.2298135879867589</v>
      </c>
      <c r="Z448" s="111">
        <f t="shared" si="184"/>
        <v>-14.325407441093585</v>
      </c>
      <c r="AA448" s="72">
        <f t="shared" si="185"/>
        <v>165.67459255890643</v>
      </c>
      <c r="AB448" s="110">
        <f t="shared" ca="1" si="186"/>
        <v>-16.728510459286035</v>
      </c>
      <c r="AC448" s="111">
        <f t="shared" ca="1" si="187"/>
        <v>-74.963197122874575</v>
      </c>
      <c r="AD448" s="72">
        <f t="shared" ca="1" si="188"/>
        <v>105.03680287712542</v>
      </c>
    </row>
    <row r="449" spans="1:30">
      <c r="A449" s="118">
        <v>47590.75</v>
      </c>
      <c r="B449" s="101">
        <f t="shared" ca="1" si="162"/>
        <v>2440.4898648026228</v>
      </c>
      <c r="C449" s="102">
        <f t="shared" ca="1" si="163"/>
        <v>1.5703865729817768</v>
      </c>
      <c r="D449" s="102">
        <f t="shared" si="164"/>
        <v>63.250952935861299</v>
      </c>
      <c r="E449" s="103">
        <f t="shared" si="165"/>
        <v>1.5549856295987061</v>
      </c>
      <c r="F449" s="101">
        <f t="shared" si="166"/>
        <v>3588.2581491350784</v>
      </c>
      <c r="G449" s="104">
        <f t="shared" si="167"/>
        <v>1.5705176400417751</v>
      </c>
      <c r="H449" s="113">
        <f t="shared" si="168"/>
        <v>4.595445358047856</v>
      </c>
      <c r="I449" s="114">
        <f t="shared" si="169"/>
        <v>1.3514345221997304</v>
      </c>
      <c r="J449" s="101">
        <f t="shared" si="170"/>
        <v>1.0004469693989295</v>
      </c>
      <c r="K449" s="104">
        <f t="shared" si="171"/>
        <v>2.9893242637803543E-2</v>
      </c>
      <c r="L449" s="102">
        <f t="shared" si="172"/>
        <v>1</v>
      </c>
      <c r="M449" s="103">
        <f t="shared" si="173"/>
        <v>1.569862879283869E-9</v>
      </c>
      <c r="N449" s="101">
        <f t="shared" si="174"/>
        <v>1</v>
      </c>
      <c r="O449" s="104">
        <f t="shared" si="175"/>
        <v>2.5117806068541902E-10</v>
      </c>
      <c r="P449" s="105">
        <f t="shared" ca="1" si="176"/>
        <v>2.8430284070184566</v>
      </c>
      <c r="Q449" s="106">
        <f t="shared" ca="1" si="177"/>
        <v>1.2952493966763385</v>
      </c>
      <c r="R449" s="107">
        <f t="shared" ca="1" si="178"/>
        <v>-26.462675990107911</v>
      </c>
      <c r="S449" s="108">
        <f t="shared" ca="1" si="179"/>
        <v>-89.360027583366929</v>
      </c>
      <c r="T449" s="116">
        <f t="shared" ca="1" si="180"/>
        <v>90.639972416633071</v>
      </c>
      <c r="V449" s="72">
        <f t="shared" ca="1" si="181"/>
        <v>47590.75</v>
      </c>
      <c r="W449" s="72">
        <f t="shared" si="182"/>
        <v>2264879485.5625</v>
      </c>
      <c r="Y449" s="110">
        <f t="shared" si="183"/>
        <v>6.2273967271800155</v>
      </c>
      <c r="Z449" s="111">
        <f t="shared" si="184"/>
        <v>-14.265294594768484</v>
      </c>
      <c r="AA449" s="72">
        <f t="shared" si="185"/>
        <v>165.73470540523152</v>
      </c>
      <c r="AB449" s="110">
        <f t="shared" ca="1" si="186"/>
        <v>-16.772472370406419</v>
      </c>
      <c r="AC449" s="111">
        <f t="shared" ca="1" si="187"/>
        <v>-75.094732988598508</v>
      </c>
      <c r="AD449" s="72">
        <f t="shared" ca="1" si="188"/>
        <v>104.90526701140149</v>
      </c>
    </row>
    <row r="450" spans="1:30">
      <c r="A450" s="118">
        <v>47863</v>
      </c>
      <c r="B450" s="101">
        <f t="shared" ca="1" si="162"/>
        <v>2454.4510495802174</v>
      </c>
      <c r="C450" s="102">
        <f t="shared" ca="1" si="163"/>
        <v>1.5703889037062038</v>
      </c>
      <c r="D450" s="102">
        <f t="shared" si="164"/>
        <v>63.61269928136722</v>
      </c>
      <c r="E450" s="103">
        <f t="shared" si="165"/>
        <v>1.555075547721416</v>
      </c>
      <c r="F450" s="101">
        <f t="shared" si="166"/>
        <v>3608.7853147175779</v>
      </c>
      <c r="G450" s="104">
        <f t="shared" si="167"/>
        <v>1.5705192252425491</v>
      </c>
      <c r="H450" s="113">
        <f t="shared" si="168"/>
        <v>4.620492811872392</v>
      </c>
      <c r="I450" s="114">
        <f t="shared" si="169"/>
        <v>1.3526429569779654</v>
      </c>
      <c r="J450" s="101">
        <f t="shared" si="170"/>
        <v>1.0004520967781307</v>
      </c>
      <c r="K450" s="104">
        <f t="shared" si="171"/>
        <v>3.0064148668061959E-2</v>
      </c>
      <c r="L450" s="102">
        <f t="shared" si="172"/>
        <v>1</v>
      </c>
      <c r="M450" s="103">
        <f t="shared" si="173"/>
        <v>1.5788435145729752E-9</v>
      </c>
      <c r="N450" s="101">
        <f t="shared" si="174"/>
        <v>1</v>
      </c>
      <c r="O450" s="104">
        <f t="shared" si="175"/>
        <v>2.5261496233167603E-10</v>
      </c>
      <c r="P450" s="105">
        <f t="shared" ca="1" si="176"/>
        <v>2.8573894030933529</v>
      </c>
      <c r="Q450" s="106">
        <f t="shared" ca="1" si="177"/>
        <v>1.297614760995752</v>
      </c>
      <c r="R450" s="107">
        <f t="shared" ca="1" si="178"/>
        <v>-26.50883091632679</v>
      </c>
      <c r="S450" s="108">
        <f t="shared" ca="1" si="179"/>
        <v>-89.431179394200626</v>
      </c>
      <c r="T450" s="116">
        <f t="shared" ca="1" si="180"/>
        <v>90.568820605799374</v>
      </c>
      <c r="V450" s="72">
        <f t="shared" ca="1" si="181"/>
        <v>47863</v>
      </c>
      <c r="W450" s="72">
        <f t="shared" si="182"/>
        <v>2290866769</v>
      </c>
      <c r="Y450" s="110">
        <f t="shared" si="183"/>
        <v>6.225018720469305</v>
      </c>
      <c r="Z450" s="111">
        <f t="shared" si="184"/>
        <v>-14.205939401199922</v>
      </c>
      <c r="AA450" s="72">
        <f t="shared" si="185"/>
        <v>165.79406059880009</v>
      </c>
      <c r="AB450" s="110">
        <f t="shared" ca="1" si="186"/>
        <v>-16.816249289914591</v>
      </c>
      <c r="AC450" s="111">
        <f t="shared" ca="1" si="187"/>
        <v>-75.225239993000713</v>
      </c>
      <c r="AD450" s="72">
        <f t="shared" ca="1" si="188"/>
        <v>104.77476000699929</v>
      </c>
    </row>
    <row r="451" spans="1:30">
      <c r="A451" s="118">
        <v>48141.75</v>
      </c>
      <c r="B451" s="101">
        <f t="shared" ca="1" si="162"/>
        <v>2468.7455592605575</v>
      </c>
      <c r="C451" s="102">
        <f t="shared" ca="1" si="163"/>
        <v>1.5703912627640593</v>
      </c>
      <c r="D451" s="102">
        <f t="shared" si="164"/>
        <v>63.983082889188957</v>
      </c>
      <c r="E451" s="103">
        <f t="shared" si="165"/>
        <v>1.5551665591916131</v>
      </c>
      <c r="F451" s="101">
        <f t="shared" si="166"/>
        <v>3629.8025687438421</v>
      </c>
      <c r="G451" s="104">
        <f t="shared" si="167"/>
        <v>1.5705208297137989</v>
      </c>
      <c r="H451" s="113">
        <f t="shared" si="168"/>
        <v>4.6461451911872915</v>
      </c>
      <c r="I451" s="114">
        <f t="shared" si="169"/>
        <v>1.3538667417226935</v>
      </c>
      <c r="J451" s="101">
        <f t="shared" si="170"/>
        <v>1.0004573768507103</v>
      </c>
      <c r="K451" s="104">
        <f t="shared" si="171"/>
        <v>3.0239133279120981E-2</v>
      </c>
      <c r="L451" s="102">
        <f t="shared" si="172"/>
        <v>1</v>
      </c>
      <c r="M451" s="103">
        <f t="shared" si="173"/>
        <v>1.5880385635604439E-9</v>
      </c>
      <c r="N451" s="101">
        <f t="shared" si="174"/>
        <v>1</v>
      </c>
      <c r="O451" s="104">
        <f t="shared" si="175"/>
        <v>2.5408617016967103E-10</v>
      </c>
      <c r="P451" s="105">
        <f t="shared" ca="1" si="176"/>
        <v>2.8721055576263894</v>
      </c>
      <c r="Q451" s="106">
        <f t="shared" ca="1" si="177"/>
        <v>1.3000172294717596</v>
      </c>
      <c r="R451" s="107">
        <f t="shared" ca="1" si="178"/>
        <v>-26.555858063174213</v>
      </c>
      <c r="S451" s="108">
        <f t="shared" ca="1" si="179"/>
        <v>-89.503751397077636</v>
      </c>
      <c r="T451" s="116">
        <f t="shared" ca="1" si="180"/>
        <v>90.496248602922364</v>
      </c>
      <c r="V451" s="72">
        <f t="shared" ca="1" si="181"/>
        <v>48141.75</v>
      </c>
      <c r="W451" s="72">
        <f t="shared" si="182"/>
        <v>2317628093.0625</v>
      </c>
      <c r="Y451" s="110">
        <f t="shared" si="183"/>
        <v>6.2226233095266723</v>
      </c>
      <c r="Z451" s="111">
        <f t="shared" si="184"/>
        <v>-14.14593950890778</v>
      </c>
      <c r="AA451" s="72">
        <f t="shared" si="185"/>
        <v>165.85406049109221</v>
      </c>
      <c r="AB451" s="110">
        <f t="shared" ca="1" si="186"/>
        <v>-16.860881025819378</v>
      </c>
      <c r="AC451" s="111">
        <f t="shared" ca="1" si="187"/>
        <v>-75.357811888169834</v>
      </c>
      <c r="AD451" s="72">
        <f t="shared" ca="1" si="188"/>
        <v>104.64218811183017</v>
      </c>
    </row>
    <row r="452" spans="1:30">
      <c r="A452" s="118">
        <v>48420.5</v>
      </c>
      <c r="B452" s="101">
        <f t="shared" ca="1" si="162"/>
        <v>2483.0400689544776</v>
      </c>
      <c r="C452" s="102">
        <f t="shared" ca="1" si="163"/>
        <v>1.5703935946603913</v>
      </c>
      <c r="D452" s="102">
        <f t="shared" si="164"/>
        <v>64.353467020887649</v>
      </c>
      <c r="E452" s="103">
        <f t="shared" si="165"/>
        <v>1.5552565230358726</v>
      </c>
      <c r="F452" s="101">
        <f t="shared" si="166"/>
        <v>3650.8198227793432</v>
      </c>
      <c r="G452" s="104">
        <f t="shared" si="167"/>
        <v>1.5705224157116202</v>
      </c>
      <c r="H452" s="113">
        <f t="shared" si="168"/>
        <v>4.6718044523768114</v>
      </c>
      <c r="I452" s="114">
        <f t="shared" si="169"/>
        <v>1.3550770853154321</v>
      </c>
      <c r="J452" s="101">
        <f t="shared" si="170"/>
        <v>1.0004626875565847</v>
      </c>
      <c r="K452" s="104">
        <f t="shared" si="171"/>
        <v>3.0414116037813802E-2</v>
      </c>
      <c r="L452" s="102">
        <f t="shared" si="172"/>
        <v>1</v>
      </c>
      <c r="M452" s="103">
        <f t="shared" si="173"/>
        <v>1.5972336125479126E-9</v>
      </c>
      <c r="N452" s="101">
        <f t="shared" si="174"/>
        <v>1</v>
      </c>
      <c r="O452" s="104">
        <f t="shared" si="175"/>
        <v>2.5555737800766602E-10</v>
      </c>
      <c r="P452" s="105">
        <f t="shared" ca="1" si="176"/>
        <v>2.8868339993690206</v>
      </c>
      <c r="Q452" s="106">
        <f t="shared" ca="1" si="177"/>
        <v>1.302400380682204</v>
      </c>
      <c r="R452" s="107">
        <f t="shared" ca="1" si="178"/>
        <v>-26.602654971562476</v>
      </c>
      <c r="S452" s="108">
        <f t="shared" ca="1" si="179"/>
        <v>-89.576044027168408</v>
      </c>
      <c r="T452" s="116">
        <f t="shared" ca="1" si="180"/>
        <v>90.423955972831592</v>
      </c>
      <c r="V452" s="72">
        <f t="shared" ca="1" si="181"/>
        <v>48420.5</v>
      </c>
      <c r="W452" s="72">
        <f t="shared" si="182"/>
        <v>2344544820.25</v>
      </c>
      <c r="Y452" s="110">
        <f t="shared" si="183"/>
        <v>6.2202668552242582</v>
      </c>
      <c r="Z452" s="111">
        <f t="shared" si="184"/>
        <v>-14.086708573315061</v>
      </c>
      <c r="AA452" s="72">
        <f t="shared" si="185"/>
        <v>165.91329142668494</v>
      </c>
      <c r="AB452" s="110">
        <f t="shared" ca="1" si="186"/>
        <v>-16.905321479905233</v>
      </c>
      <c r="AC452" s="111">
        <f t="shared" ca="1" si="187"/>
        <v>-75.489335453853343</v>
      </c>
      <c r="AD452" s="72">
        <f t="shared" ca="1" si="188"/>
        <v>104.51066454614666</v>
      </c>
    </row>
    <row r="453" spans="1:30">
      <c r="A453" s="118">
        <v>48699.25</v>
      </c>
      <c r="B453" s="101">
        <f t="shared" ca="1" si="162"/>
        <v>2497.3345786617456</v>
      </c>
      <c r="C453" s="102">
        <f t="shared" ca="1" si="163"/>
        <v>1.5703958998616103</v>
      </c>
      <c r="D453" s="102">
        <f t="shared" si="164"/>
        <v>64.723851667469603</v>
      </c>
      <c r="E453" s="103">
        <f t="shared" si="165"/>
        <v>1.5553454572379606</v>
      </c>
      <c r="F453" s="101">
        <f t="shared" si="166"/>
        <v>3671.8370768239224</v>
      </c>
      <c r="G453" s="104">
        <f t="shared" si="167"/>
        <v>1.5705239835532332</v>
      </c>
      <c r="H453" s="113">
        <f t="shared" si="168"/>
        <v>4.6974704826671818</v>
      </c>
      <c r="I453" s="114">
        <f t="shared" si="169"/>
        <v>1.3562742044998948</v>
      </c>
      <c r="J453" s="101">
        <f t="shared" si="170"/>
        <v>1.0004680288952661</v>
      </c>
      <c r="K453" s="104">
        <f t="shared" si="171"/>
        <v>3.0589096933454421E-2</v>
      </c>
      <c r="L453" s="102">
        <f t="shared" si="172"/>
        <v>1</v>
      </c>
      <c r="M453" s="103">
        <f t="shared" si="173"/>
        <v>1.6064286615353815E-9</v>
      </c>
      <c r="N453" s="101">
        <f t="shared" si="174"/>
        <v>1</v>
      </c>
      <c r="O453" s="104">
        <f t="shared" si="175"/>
        <v>2.5702858584566101E-10</v>
      </c>
      <c r="P453" s="105">
        <f t="shared" ca="1" si="176"/>
        <v>2.9015745844593468</v>
      </c>
      <c r="Q453" s="106">
        <f t="shared" ca="1" si="177"/>
        <v>1.304764492125126</v>
      </c>
      <c r="R453" s="107">
        <f t="shared" ca="1" si="178"/>
        <v>-26.649223833424472</v>
      </c>
      <c r="S453" s="108">
        <f t="shared" ca="1" si="179"/>
        <v>-89.648059779332044</v>
      </c>
      <c r="T453" s="116">
        <f t="shared" ca="1" si="180"/>
        <v>90.351940220667956</v>
      </c>
      <c r="V453" s="72">
        <f t="shared" ca="1" si="181"/>
        <v>48699.25</v>
      </c>
      <c r="W453" s="72">
        <f t="shared" si="182"/>
        <v>2371616950.5625</v>
      </c>
      <c r="Y453" s="110">
        <f t="shared" si="183"/>
        <v>6.2179484959103606</v>
      </c>
      <c r="Z453" s="111">
        <f t="shared" si="184"/>
        <v>-14.028234193484845</v>
      </c>
      <c r="AA453" s="72">
        <f t="shared" si="185"/>
        <v>165.97176580651515</v>
      </c>
      <c r="AB453" s="110">
        <f t="shared" ca="1" si="186"/>
        <v>-16.949571982453332</v>
      </c>
      <c r="AC453" s="111">
        <f t="shared" ca="1" si="187"/>
        <v>-75.619825585847238</v>
      </c>
      <c r="AD453" s="72">
        <f t="shared" ca="1" si="188"/>
        <v>104.38017441415276</v>
      </c>
    </row>
    <row r="454" spans="1:30">
      <c r="A454" s="118">
        <v>48978</v>
      </c>
      <c r="B454" s="101">
        <f t="shared" ca="1" si="162"/>
        <v>2511.6290883821334</v>
      </c>
      <c r="C454" s="102">
        <f t="shared" ca="1" si="163"/>
        <v>1.570398178823508</v>
      </c>
      <c r="D454" s="102">
        <f t="shared" si="164"/>
        <v>65.094236820145809</v>
      </c>
      <c r="E454" s="103">
        <f t="shared" si="165"/>
        <v>1.5554333793724</v>
      </c>
      <c r="F454" s="101">
        <f t="shared" si="166"/>
        <v>3692.8543308774247</v>
      </c>
      <c r="G454" s="104">
        <f t="shared" si="167"/>
        <v>1.5705255335486372</v>
      </c>
      <c r="H454" s="113">
        <f t="shared" si="168"/>
        <v>4.7231431717065</v>
      </c>
      <c r="I454" s="114">
        <f t="shared" si="169"/>
        <v>1.3574583114608312</v>
      </c>
      <c r="J454" s="101">
        <f t="shared" si="170"/>
        <v>1.0004734008662641</v>
      </c>
      <c r="K454" s="104">
        <f t="shared" si="171"/>
        <v>3.0764075955357531E-2</v>
      </c>
      <c r="L454" s="102">
        <f t="shared" si="172"/>
        <v>1</v>
      </c>
      <c r="M454" s="103">
        <f t="shared" si="173"/>
        <v>1.6156237105228501E-9</v>
      </c>
      <c r="N454" s="101">
        <f t="shared" si="174"/>
        <v>1</v>
      </c>
      <c r="O454" s="104">
        <f t="shared" si="175"/>
        <v>2.58499793683656E-10</v>
      </c>
      <c r="P454" s="105">
        <f t="shared" ca="1" si="176"/>
        <v>2.9163271720396002</v>
      </c>
      <c r="Q454" s="106">
        <f t="shared" ca="1" si="177"/>
        <v>1.3071098362627325</v>
      </c>
      <c r="R454" s="107">
        <f t="shared" ca="1" si="178"/>
        <v>-26.695566810573265</v>
      </c>
      <c r="S454" s="108">
        <f t="shared" ca="1" si="179"/>
        <v>-89.719801143530916</v>
      </c>
      <c r="T454" s="116">
        <f t="shared" ca="1" si="180"/>
        <v>90.280198856469084</v>
      </c>
      <c r="V454" s="72">
        <f t="shared" ca="1" si="181"/>
        <v>48978</v>
      </c>
      <c r="W454" s="72">
        <f t="shared" si="182"/>
        <v>2398844484</v>
      </c>
      <c r="Y454" s="110">
        <f t="shared" si="183"/>
        <v>6.2156673932905573</v>
      </c>
      <c r="Z454" s="111">
        <f t="shared" si="184"/>
        <v>-13.970504229275928</v>
      </c>
      <c r="AA454" s="72">
        <f t="shared" si="185"/>
        <v>166.02949577072408</v>
      </c>
      <c r="AB454" s="110">
        <f t="shared" ca="1" si="186"/>
        <v>-16.993633856982321</v>
      </c>
      <c r="AC454" s="111">
        <f t="shared" ca="1" si="187"/>
        <v>-75.749296914255012</v>
      </c>
      <c r="AD454" s="72">
        <f t="shared" ca="1" si="188"/>
        <v>104.25070308574499</v>
      </c>
    </row>
    <row r="455" spans="1:30">
      <c r="A455" s="118">
        <v>49263.25</v>
      </c>
      <c r="B455" s="101">
        <f t="shared" ca="1" si="162"/>
        <v>2526.2569230062113</v>
      </c>
      <c r="C455" s="102">
        <f t="shared" ca="1" si="163"/>
        <v>1.5704004842275756</v>
      </c>
      <c r="D455" s="102">
        <f t="shared" si="164"/>
        <v>65.473259271624144</v>
      </c>
      <c r="E455" s="103">
        <f t="shared" si="165"/>
        <v>1.555522321884782</v>
      </c>
      <c r="F455" s="101">
        <f t="shared" si="166"/>
        <v>3714.3616733753347</v>
      </c>
      <c r="G455" s="104">
        <f t="shared" si="167"/>
        <v>1.5705271015282112</v>
      </c>
      <c r="H455" s="113">
        <f t="shared" si="168"/>
        <v>4.7494212872200965</v>
      </c>
      <c r="I455" s="114">
        <f t="shared" si="169"/>
        <v>1.3586567756982348</v>
      </c>
      <c r="J455" s="101">
        <f t="shared" si="170"/>
        <v>1.0004789298145276</v>
      </c>
      <c r="K455" s="104">
        <f t="shared" si="171"/>
        <v>3.0943133254641118E-2</v>
      </c>
      <c r="L455" s="102">
        <f t="shared" si="172"/>
        <v>1</v>
      </c>
      <c r="M455" s="103">
        <f t="shared" si="173"/>
        <v>1.6250331732086813E-9</v>
      </c>
      <c r="N455" s="101">
        <f t="shared" si="174"/>
        <v>1</v>
      </c>
      <c r="O455" s="104">
        <f t="shared" si="175"/>
        <v>2.6000530771338902E-10</v>
      </c>
      <c r="P455" s="105">
        <f t="shared" ca="1" si="176"/>
        <v>2.9314360478400938</v>
      </c>
      <c r="Q455" s="106">
        <f t="shared" ca="1" si="177"/>
        <v>1.309490720283367</v>
      </c>
      <c r="R455" s="107">
        <f t="shared" ca="1" si="178"/>
        <v>-26.742758808512008</v>
      </c>
      <c r="S455" s="108">
        <f t="shared" ca="1" si="179"/>
        <v>-89.792933931849817</v>
      </c>
      <c r="T455" s="116">
        <f t="shared" ca="1" si="180"/>
        <v>90.207066068150183</v>
      </c>
      <c r="V455" s="72">
        <f t="shared" ca="1" si="181"/>
        <v>49263.25</v>
      </c>
      <c r="W455" s="72">
        <f t="shared" si="182"/>
        <v>2426867800.5625</v>
      </c>
      <c r="Y455" s="110">
        <f t="shared" si="183"/>
        <v>6.2133708181428542</v>
      </c>
      <c r="Z455" s="111">
        <f t="shared" si="184"/>
        <v>-13.912186352207726</v>
      </c>
      <c r="AA455" s="72">
        <f t="shared" si="185"/>
        <v>166.08781364779227</v>
      </c>
      <c r="AB455" s="110">
        <f t="shared" ca="1" si="186"/>
        <v>-17.038529279773357</v>
      </c>
      <c r="AC455" s="111">
        <f t="shared" ca="1" si="187"/>
        <v>-75.88074757964209</v>
      </c>
      <c r="AD455" s="72">
        <f t="shared" ca="1" si="188"/>
        <v>104.11925242035791</v>
      </c>
    </row>
    <row r="456" spans="1:30">
      <c r="A456" s="118">
        <v>49548.5</v>
      </c>
      <c r="B456" s="101">
        <f t="shared" ca="1" si="162"/>
        <v>2540.8847576435619</v>
      </c>
      <c r="C456" s="102">
        <f t="shared" ca="1" si="163"/>
        <v>1.5704027630872917</v>
      </c>
      <c r="D456" s="102">
        <f t="shared" si="164"/>
        <v>65.852282235084175</v>
      </c>
      <c r="E456" s="103">
        <f t="shared" si="165"/>
        <v>1.5556102405531669</v>
      </c>
      <c r="F456" s="101">
        <f t="shared" si="166"/>
        <v>3735.8690158822715</v>
      </c>
      <c r="G456" s="104">
        <f t="shared" si="167"/>
        <v>1.570528651454115</v>
      </c>
      <c r="H456" s="113">
        <f t="shared" si="168"/>
        <v>4.775706149328399</v>
      </c>
      <c r="I456" s="114">
        <f t="shared" si="169"/>
        <v>1.3598420492416168</v>
      </c>
      <c r="J456" s="101">
        <f t="shared" si="170"/>
        <v>1.0004844908393073</v>
      </c>
      <c r="K456" s="104">
        <f t="shared" si="171"/>
        <v>3.1122188569145663E-2</v>
      </c>
      <c r="L456" s="102">
        <f t="shared" si="172"/>
        <v>1</v>
      </c>
      <c r="M456" s="103">
        <f t="shared" si="173"/>
        <v>1.6344426358945127E-9</v>
      </c>
      <c r="N456" s="101">
        <f t="shared" si="174"/>
        <v>1</v>
      </c>
      <c r="O456" s="104">
        <f t="shared" si="175"/>
        <v>2.6151082174312204E-10</v>
      </c>
      <c r="P456" s="105">
        <f t="shared" ca="1" si="176"/>
        <v>2.9465572033035201</v>
      </c>
      <c r="Q456" s="106">
        <f t="shared" ca="1" si="177"/>
        <v>1.3118525131407164</v>
      </c>
      <c r="R456" s="107">
        <f t="shared" ca="1" si="178"/>
        <v>-26.789718750617624</v>
      </c>
      <c r="S456" s="108">
        <f t="shared" ca="1" si="179"/>
        <v>-89.865784641124492</v>
      </c>
      <c r="T456" s="116">
        <f t="shared" ca="1" si="180"/>
        <v>90.134215358875508</v>
      </c>
      <c r="V456" s="72">
        <f t="shared" ca="1" si="181"/>
        <v>49548.5</v>
      </c>
      <c r="W456" s="72">
        <f t="shared" si="182"/>
        <v>2455053852.25</v>
      </c>
      <c r="Y456" s="110">
        <f t="shared" si="183"/>
        <v>6.2111115530244732</v>
      </c>
      <c r="Z456" s="111">
        <f t="shared" si="184"/>
        <v>-13.854623098118145</v>
      </c>
      <c r="AA456" s="72">
        <f t="shared" si="185"/>
        <v>166.14537690188186</v>
      </c>
      <c r="AB456" s="110">
        <f t="shared" ca="1" si="186"/>
        <v>-17.083229956760594</v>
      </c>
      <c r="AC456" s="111">
        <f t="shared" ca="1" si="187"/>
        <v>-76.011161543006352</v>
      </c>
      <c r="AD456" s="72">
        <f t="shared" ca="1" si="188"/>
        <v>103.98883845699365</v>
      </c>
    </row>
    <row r="457" spans="1:30">
      <c r="A457" s="118">
        <v>49833.75</v>
      </c>
      <c r="B457" s="101">
        <f t="shared" ca="1" si="162"/>
        <v>2555.5125922939565</v>
      </c>
      <c r="C457" s="102">
        <f t="shared" ca="1" si="163"/>
        <v>1.5704050158584777</v>
      </c>
      <c r="D457" s="102">
        <f t="shared" si="164"/>
        <v>66.23130570173619</v>
      </c>
      <c r="E457" s="103">
        <f t="shared" si="165"/>
        <v>1.5556971529537122</v>
      </c>
      <c r="F457" s="101">
        <f t="shared" si="166"/>
        <v>3757.3763583980808</v>
      </c>
      <c r="G457" s="104">
        <f t="shared" si="167"/>
        <v>1.5705301836363679</v>
      </c>
      <c r="H457" s="113">
        <f t="shared" si="168"/>
        <v>4.8019976472441943</v>
      </c>
      <c r="I457" s="114">
        <f t="shared" si="169"/>
        <v>1.3610143453947898</v>
      </c>
      <c r="J457" s="101">
        <f t="shared" si="170"/>
        <v>1.0004900839400688</v>
      </c>
      <c r="K457" s="104">
        <f t="shared" si="171"/>
        <v>3.1301241887423052E-2</v>
      </c>
      <c r="L457" s="102">
        <f t="shared" si="172"/>
        <v>1</v>
      </c>
      <c r="M457" s="103">
        <f t="shared" si="173"/>
        <v>1.6438520985803439E-9</v>
      </c>
      <c r="N457" s="101">
        <f t="shared" si="174"/>
        <v>1</v>
      </c>
      <c r="O457" s="104">
        <f t="shared" si="175"/>
        <v>2.6301633577285501E-10</v>
      </c>
      <c r="P457" s="105">
        <f t="shared" ca="1" si="176"/>
        <v>2.9616904968073006</v>
      </c>
      <c r="Q457" s="106">
        <f t="shared" ca="1" si="177"/>
        <v>1.3141954911151454</v>
      </c>
      <c r="R457" s="107">
        <f t="shared" ca="1" si="178"/>
        <v>-26.836448859187726</v>
      </c>
      <c r="S457" s="108">
        <f t="shared" ca="1" si="179"/>
        <v>-89.938355915829391</v>
      </c>
      <c r="T457" s="116">
        <f t="shared" ca="1" si="180"/>
        <v>90.061644084170609</v>
      </c>
      <c r="V457" s="72">
        <f t="shared" ca="1" si="181"/>
        <v>49833.75</v>
      </c>
      <c r="W457" s="72">
        <f t="shared" si="182"/>
        <v>2483402639.0625</v>
      </c>
      <c r="Y457" s="110">
        <f t="shared" si="183"/>
        <v>6.2088887707806704</v>
      </c>
      <c r="Z457" s="111">
        <f t="shared" si="184"/>
        <v>-13.797802262705741</v>
      </c>
      <c r="AA457" s="72">
        <f t="shared" si="185"/>
        <v>166.20219773729426</v>
      </c>
      <c r="AB457" s="110">
        <f t="shared" ca="1" si="186"/>
        <v>-17.127737283086891</v>
      </c>
      <c r="AC457" s="111">
        <f t="shared" ca="1" si="187"/>
        <v>-76.140553653123646</v>
      </c>
      <c r="AD457" s="72">
        <f t="shared" ca="1" si="188"/>
        <v>103.85944634687635</v>
      </c>
    </row>
    <row r="458" spans="1:30">
      <c r="A458" s="118">
        <v>50119</v>
      </c>
      <c r="B458" s="101">
        <f t="shared" ca="1" si="162"/>
        <v>2570.1404269571731</v>
      </c>
      <c r="C458" s="102">
        <f t="shared" ca="1" si="163"/>
        <v>1.5704072429865792</v>
      </c>
      <c r="D458" s="102">
        <f t="shared" si="164"/>
        <v>66.610329662990381</v>
      </c>
      <c r="E458" s="103">
        <f t="shared" si="165"/>
        <v>1.555783076262593</v>
      </c>
      <c r="F458" s="101">
        <f t="shared" si="166"/>
        <v>3778.8837009226099</v>
      </c>
      <c r="G458" s="104">
        <f t="shared" si="167"/>
        <v>1.5705316983779312</v>
      </c>
      <c r="H458" s="113">
        <f t="shared" si="168"/>
        <v>4.8282956725656829</v>
      </c>
      <c r="I458" s="114">
        <f t="shared" si="169"/>
        <v>1.3621738729588477</v>
      </c>
      <c r="J458" s="101">
        <f t="shared" si="170"/>
        <v>1.0004957091162741</v>
      </c>
      <c r="K458" s="104">
        <f t="shared" si="171"/>
        <v>3.1480293198025928E-2</v>
      </c>
      <c r="L458" s="102">
        <f t="shared" si="172"/>
        <v>1</v>
      </c>
      <c r="M458" s="103">
        <f t="shared" si="173"/>
        <v>1.6532615612661751E-9</v>
      </c>
      <c r="N458" s="101">
        <f t="shared" si="174"/>
        <v>1</v>
      </c>
      <c r="O458" s="104">
        <f t="shared" si="175"/>
        <v>2.6452184980258802E-10</v>
      </c>
      <c r="P458" s="105">
        <f t="shared" ca="1" si="176"/>
        <v>2.9768357897259623</v>
      </c>
      <c r="Q458" s="106">
        <f t="shared" ca="1" si="177"/>
        <v>1.3165199254206814</v>
      </c>
      <c r="R458" s="107">
        <f t="shared" ca="1" si="178"/>
        <v>-26.882951325909286</v>
      </c>
      <c r="S458" s="108">
        <f t="shared" ca="1" si="179"/>
        <v>-90.01065039006464</v>
      </c>
      <c r="T458" s="116">
        <f t="shared" ca="1" si="180"/>
        <v>89.98934960993536</v>
      </c>
      <c r="V458" s="72">
        <f t="shared" ca="1" si="181"/>
        <v>50119</v>
      </c>
      <c r="W458" s="72">
        <f t="shared" si="182"/>
        <v>2511914161</v>
      </c>
      <c r="Y458" s="110">
        <f t="shared" si="183"/>
        <v>6.2067016667240482</v>
      </c>
      <c r="Z458" s="111">
        <f t="shared" si="184"/>
        <v>-13.741711899251667</v>
      </c>
      <c r="AA458" s="72">
        <f t="shared" si="185"/>
        <v>166.25828810074833</v>
      </c>
      <c r="AB458" s="110">
        <f t="shared" ca="1" si="186"/>
        <v>-17.172052645751826</v>
      </c>
      <c r="AC458" s="111">
        <f t="shared" ca="1" si="187"/>
        <v>-76.268938490812971</v>
      </c>
      <c r="AD458" s="72">
        <f t="shared" ca="1" si="188"/>
        <v>103.73106150918703</v>
      </c>
    </row>
    <row r="459" spans="1:30">
      <c r="A459" s="118">
        <v>50410.75</v>
      </c>
      <c r="B459" s="101">
        <f t="shared" ca="1" si="162"/>
        <v>2585.1015865249624</v>
      </c>
      <c r="C459" s="102">
        <f t="shared" ca="1" si="163"/>
        <v>1.5704094947917937</v>
      </c>
      <c r="D459" s="102">
        <f t="shared" si="164"/>
        <v>66.997990957098907</v>
      </c>
      <c r="E459" s="103">
        <f t="shared" si="165"/>
        <v>1.555869951847568</v>
      </c>
      <c r="F459" s="101">
        <f t="shared" si="166"/>
        <v>3800.8811318921471</v>
      </c>
      <c r="G459" s="104">
        <f t="shared" si="167"/>
        <v>1.5705332299031927</v>
      </c>
      <c r="H459" s="113">
        <f t="shared" si="168"/>
        <v>4.8551995934084884</v>
      </c>
      <c r="I459" s="114">
        <f t="shared" si="169"/>
        <v>1.3633468274048919</v>
      </c>
      <c r="J459" s="101">
        <f t="shared" si="170"/>
        <v>1.0005014956530958</v>
      </c>
      <c r="K459" s="104">
        <f t="shared" si="171"/>
        <v>3.1663422467272127E-2</v>
      </c>
      <c r="L459" s="102">
        <f t="shared" si="172"/>
        <v>1</v>
      </c>
      <c r="M459" s="103">
        <f t="shared" si="173"/>
        <v>1.6628854376503688E-9</v>
      </c>
      <c r="N459" s="101">
        <f t="shared" si="174"/>
        <v>1</v>
      </c>
      <c r="O459" s="104">
        <f t="shared" si="175"/>
        <v>2.6606167002405902E-10</v>
      </c>
      <c r="P459" s="105">
        <f t="shared" ca="1" si="176"/>
        <v>2.9923384701279128</v>
      </c>
      <c r="Q459" s="106">
        <f t="shared" ca="1" si="177"/>
        <v>1.3188784218513545</v>
      </c>
      <c r="R459" s="107">
        <f t="shared" ca="1" si="178"/>
        <v>-26.93028021671816</v>
      </c>
      <c r="S459" s="108">
        <f t="shared" ca="1" si="179"/>
        <v>-90.084308640580531</v>
      </c>
      <c r="T459" s="116">
        <f t="shared" ca="1" si="180"/>
        <v>89.915691359419469</v>
      </c>
      <c r="V459" s="72">
        <f t="shared" ca="1" si="181"/>
        <v>50410.75</v>
      </c>
      <c r="W459" s="72">
        <f t="shared" si="182"/>
        <v>2541243715.5625</v>
      </c>
      <c r="Y459" s="110">
        <f t="shared" si="183"/>
        <v>6.2045008160799959</v>
      </c>
      <c r="Z459" s="111">
        <f t="shared" si="184"/>
        <v>-13.685086843571151</v>
      </c>
      <c r="AA459" s="72">
        <f t="shared" si="185"/>
        <v>166.31491315642884</v>
      </c>
      <c r="AB459" s="110">
        <f t="shared" ca="1" si="186"/>
        <v>-17.217180685916652</v>
      </c>
      <c r="AC459" s="111">
        <f t="shared" ca="1" si="187"/>
        <v>-76.399221797009375</v>
      </c>
      <c r="AD459" s="72">
        <f t="shared" ca="1" si="188"/>
        <v>103.60077820299063</v>
      </c>
    </row>
    <row r="460" spans="1:30">
      <c r="A460" s="118">
        <v>50702.5</v>
      </c>
      <c r="B460" s="101">
        <f t="shared" ca="1" si="162"/>
        <v>2600.0627461057093</v>
      </c>
      <c r="C460" s="102">
        <f t="shared" ca="1" si="163"/>
        <v>1.5704117206825436</v>
      </c>
      <c r="D460" s="102">
        <f t="shared" si="164"/>
        <v>67.3856527510479</v>
      </c>
      <c r="E460" s="103">
        <f t="shared" si="165"/>
        <v>1.5559558278629873</v>
      </c>
      <c r="F460" s="101">
        <f t="shared" si="166"/>
        <v>3822.8785628704973</v>
      </c>
      <c r="G460" s="104">
        <f t="shared" si="167"/>
        <v>1.5705347438031907</v>
      </c>
      <c r="H460" s="113">
        <f t="shared" si="168"/>
        <v>4.8821101205150645</v>
      </c>
      <c r="I460" s="114">
        <f t="shared" si="169"/>
        <v>1.3645068526209725</v>
      </c>
      <c r="J460" s="101">
        <f t="shared" si="170"/>
        <v>1.000507315742676</v>
      </c>
      <c r="K460" s="104">
        <f t="shared" si="171"/>
        <v>3.1846549612083053E-2</v>
      </c>
      <c r="L460" s="102">
        <f t="shared" si="172"/>
        <v>1</v>
      </c>
      <c r="M460" s="103">
        <f t="shared" si="173"/>
        <v>1.6725093140345628E-9</v>
      </c>
      <c r="N460" s="101">
        <f t="shared" si="174"/>
        <v>1</v>
      </c>
      <c r="O460" s="104">
        <f t="shared" si="175"/>
        <v>2.6760149024553001E-10</v>
      </c>
      <c r="P460" s="105">
        <f t="shared" ca="1" si="176"/>
        <v>3.0078534190000163</v>
      </c>
      <c r="Q460" s="106">
        <f t="shared" ca="1" si="177"/>
        <v>1.3212180780105964</v>
      </c>
      <c r="R460" s="107">
        <f t="shared" ca="1" si="178"/>
        <v>-26.977375514999991</v>
      </c>
      <c r="S460" s="108">
        <f t="shared" ca="1" si="179"/>
        <v>-90.157682868120489</v>
      </c>
      <c r="T460" s="116">
        <f t="shared" ca="1" si="180"/>
        <v>89.842317131879511</v>
      </c>
      <c r="V460" s="72">
        <f t="shared" ca="1" si="181"/>
        <v>50702.5</v>
      </c>
      <c r="W460" s="72">
        <f t="shared" si="182"/>
        <v>2570743506.25</v>
      </c>
      <c r="Y460" s="110">
        <f t="shared" si="183"/>
        <v>6.2023356542746413</v>
      </c>
      <c r="Z460" s="111">
        <f t="shared" si="184"/>
        <v>-13.629201446626384</v>
      </c>
      <c r="AA460" s="72">
        <f t="shared" si="185"/>
        <v>166.37079855337362</v>
      </c>
      <c r="AB460" s="110">
        <f t="shared" ca="1" si="186"/>
        <v>-17.262110822393129</v>
      </c>
      <c r="AC460" s="111">
        <f t="shared" ca="1" si="187"/>
        <v>-76.528481421494121</v>
      </c>
      <c r="AD460" s="72">
        <f t="shared" ca="1" si="188"/>
        <v>103.47151857850588</v>
      </c>
    </row>
    <row r="461" spans="1:30">
      <c r="A461" s="118">
        <v>50994.25</v>
      </c>
      <c r="B461" s="101">
        <f t="shared" ca="1" si="162"/>
        <v>2615.0239056991904</v>
      </c>
      <c r="C461" s="102">
        <f t="shared" ca="1" si="163"/>
        <v>1.5704139211036168</v>
      </c>
      <c r="D461" s="102">
        <f t="shared" si="164"/>
        <v>67.773315036260115</v>
      </c>
      <c r="E461" s="103">
        <f t="shared" si="165"/>
        <v>1.5560407214601388</v>
      </c>
      <c r="F461" s="101">
        <f t="shared" si="166"/>
        <v>3844.8759938575085</v>
      </c>
      <c r="G461" s="104">
        <f t="shared" si="167"/>
        <v>1.5705362403804397</v>
      </c>
      <c r="H461" s="113">
        <f t="shared" si="168"/>
        <v>4.9090271452418666</v>
      </c>
      <c r="I461" s="114">
        <f t="shared" si="169"/>
        <v>1.3656541581385981</v>
      </c>
      <c r="J461" s="101">
        <f t="shared" si="170"/>
        <v>1.0005131693844296</v>
      </c>
      <c r="K461" s="104">
        <f t="shared" si="171"/>
        <v>3.202967462021334E-2</v>
      </c>
      <c r="L461" s="102">
        <f t="shared" si="172"/>
        <v>1</v>
      </c>
      <c r="M461" s="103">
        <f t="shared" si="173"/>
        <v>1.6821331904187565E-9</v>
      </c>
      <c r="N461" s="101">
        <f t="shared" si="174"/>
        <v>1</v>
      </c>
      <c r="O461" s="104">
        <f t="shared" si="175"/>
        <v>2.69141310467001E-10</v>
      </c>
      <c r="P461" s="105">
        <f t="shared" ca="1" si="176"/>
        <v>3.0233804973005109</v>
      </c>
      <c r="Q461" s="106">
        <f t="shared" ca="1" si="177"/>
        <v>1.323539168332083</v>
      </c>
      <c r="R461" s="107">
        <f t="shared" ca="1" si="178"/>
        <v>-27.024239470020962</v>
      </c>
      <c r="S461" s="108">
        <f t="shared" ca="1" si="179"/>
        <v>-90.230775850724072</v>
      </c>
      <c r="T461" s="116">
        <f t="shared" ca="1" si="180"/>
        <v>89.769224149275928</v>
      </c>
      <c r="V461" s="72">
        <f t="shared" ca="1" si="181"/>
        <v>50994.25</v>
      </c>
      <c r="W461" s="72">
        <f t="shared" si="182"/>
        <v>2600413533.0625</v>
      </c>
      <c r="Y461" s="110">
        <f t="shared" si="183"/>
        <v>6.2002053886637531</v>
      </c>
      <c r="Z461" s="111">
        <f t="shared" si="184"/>
        <v>-13.574043719777409</v>
      </c>
      <c r="AA461" s="72">
        <f t="shared" si="185"/>
        <v>166.42595628022258</v>
      </c>
      <c r="AB461" s="110">
        <f t="shared" ca="1" si="186"/>
        <v>-17.306844511803209</v>
      </c>
      <c r="AC461" s="111">
        <f t="shared" ca="1" si="187"/>
        <v>-76.656732130946665</v>
      </c>
      <c r="AD461" s="72">
        <f t="shared" ca="1" si="188"/>
        <v>103.34326786905334</v>
      </c>
    </row>
    <row r="462" spans="1:30">
      <c r="A462" s="118">
        <v>51286</v>
      </c>
      <c r="B462" s="101">
        <f t="shared" ref="B462:B525" ca="1" si="189">SQRT(1+(A462/Pole1)^2)</f>
        <v>2629.9850653051899</v>
      </c>
      <c r="C462" s="102">
        <f t="shared" ref="C462:C525" ca="1" si="190">ATAN(A462/Pole1)</f>
        <v>1.5704160964896801</v>
      </c>
      <c r="D462" s="102">
        <f t="shared" ref="D462:D525" si="191">SQRT(1+(A462/Zero1)^2)</f>
        <v>68.160977804353465</v>
      </c>
      <c r="E462" s="103">
        <f t="shared" ref="E462:E525" si="192">ATAN(A462/Zero1)</f>
        <v>1.5561246494001797</v>
      </c>
      <c r="F462" s="101">
        <f t="shared" ref="F462:F525" si="193">SQRT(1+(A462/Pole2)^2)</f>
        <v>3866.8734248530336</v>
      </c>
      <c r="G462" s="104">
        <f t="shared" ref="G462:G525" si="194">ATAN(A462/Pole2)</f>
        <v>1.5705377199305708</v>
      </c>
      <c r="H462" s="113">
        <f t="shared" ref="H462:H525" si="195">SQRT(1+(A462/Zero2)^2)</f>
        <v>4.9359505612892445</v>
      </c>
      <c r="I462" s="114">
        <f t="shared" ref="I462:I525" si="196">ATAN(A462/Zero2)</f>
        <v>1.3667889490532781</v>
      </c>
      <c r="J462" s="101">
        <f t="shared" ref="J462:J525" si="197">SQRT(1+(A462/pole4)^2)</f>
        <v>1.0005190565777677</v>
      </c>
      <c r="K462" s="104">
        <f t="shared" ref="K462:K525" si="198">ATAN(A462/pole4)</f>
        <v>3.2212797479418499E-2</v>
      </c>
      <c r="L462" s="102">
        <f t="shared" ref="L462:L525" si="199">SQRT(1+(A462/Zerofeed)^2)</f>
        <v>1</v>
      </c>
      <c r="M462" s="103">
        <f t="shared" ref="M462:M525" si="200">ATAN(A462/Zerofeed)</f>
        <v>1.6917570668029502E-9</v>
      </c>
      <c r="N462" s="101">
        <f t="shared" ref="N462:N525" si="201">SQRT(1+(A462/Polefeed)^2)</f>
        <v>1</v>
      </c>
      <c r="O462" s="104">
        <f t="shared" ref="O462:O525" si="202">ATAN(A462/Polefeed)</f>
        <v>2.70681130688472E-10</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-27.070874299986649</v>
      </c>
      <c r="S462" s="108">
        <f t="shared" ref="S462:S525" ca="1" si="206">((E462+I462+M462)-(C462+G462+Q462+K462+O462))*radconv</f>
        <v>-90.303590350896712</v>
      </c>
      <c r="T462" s="116">
        <f t="shared" ref="T462:T525" ca="1" si="207">IF(S462&gt;0,S462,S462+180)</f>
        <v>89.696409649103288</v>
      </c>
      <c r="V462" s="72">
        <f t="shared" ref="V462:V525" ca="1" si="208">IF(R462&lt;0,A462,1000000000)</f>
        <v>51286</v>
      </c>
      <c r="W462" s="72">
        <f t="shared" ref="W462:W525" si="209">A462^2</f>
        <v>2630253796</v>
      </c>
      <c r="Y462" s="110">
        <f t="shared" ref="Y462:Y525" si="210">20*LOG10(((H462*L462)/(F462*J462*N462))*Aea)</f>
        <v>6.1981092481637079</v>
      </c>
      <c r="Z462" s="111">
        <f t="shared" ref="Z462:Z525" si="211">(I462+M462-(G462+K462+O462))*radconv</f>
        <v>-13.519601928153966</v>
      </c>
      <c r="AA462" s="72">
        <f t="shared" ref="AA462:AA525" si="212">IF(Z462&gt;0,Z462,Z462+180)</f>
        <v>166.48039807184603</v>
      </c>
      <c r="AB462" s="110">
        <f t="shared" ref="AB462:AB525" ca="1" si="213">20*LOG10((D462/(B462*P462))*Acs*Am)</f>
        <v>-17.351383201268849</v>
      </c>
      <c r="AC462" s="111">
        <f t="shared" ref="AC462:AC525" ca="1" si="214">(E462-(C462+Q462))*radconv</f>
        <v>-76.783988422742723</v>
      </c>
      <c r="AD462" s="72">
        <f t="shared" ref="AD462:AD525" ca="1" si="215">IF(AC462&gt;0,AC462,AC462+180)</f>
        <v>103.21601157725728</v>
      </c>
    </row>
    <row r="463" spans="1:30">
      <c r="A463" s="118">
        <v>51584.75</v>
      </c>
      <c r="B463" s="101">
        <f t="shared" ca="1" si="189"/>
        <v>2645.3051901929766</v>
      </c>
      <c r="C463" s="102">
        <f t="shared" ca="1" si="190"/>
        <v>1.5704182985705826</v>
      </c>
      <c r="D463" s="102">
        <f t="shared" si="191"/>
        <v>68.557942313223776</v>
      </c>
      <c r="E463" s="103">
        <f t="shared" si="192"/>
        <v>1.5562096074564586</v>
      </c>
      <c r="F463" s="101">
        <f t="shared" si="193"/>
        <v>3889.3986434046801</v>
      </c>
      <c r="G463" s="104">
        <f t="shared" si="194"/>
        <v>1.5705392176367203</v>
      </c>
      <c r="H463" s="113">
        <f t="shared" si="195"/>
        <v>4.9635264692992855</v>
      </c>
      <c r="I463" s="114">
        <f t="shared" si="196"/>
        <v>1.3679382082641305</v>
      </c>
      <c r="J463" s="101">
        <f t="shared" si="197"/>
        <v>1.000525119791523</v>
      </c>
      <c r="K463" s="104">
        <f t="shared" si="198"/>
        <v>3.2400311792231504E-2</v>
      </c>
      <c r="L463" s="102">
        <f t="shared" si="199"/>
        <v>1</v>
      </c>
      <c r="M463" s="103">
        <f t="shared" si="200"/>
        <v>1.7016118502469188E-9</v>
      </c>
      <c r="N463" s="101">
        <f t="shared" si="201"/>
        <v>1</v>
      </c>
      <c r="O463" s="104">
        <f t="shared" si="202"/>
        <v>2.72257896039507E-10</v>
      </c>
      <c r="P463" s="105">
        <f t="shared" ca="1" si="203"/>
        <v>3.0548437612272523</v>
      </c>
      <c r="Q463" s="106">
        <f t="shared" ca="1" si="204"/>
        <v>1.3281813231717303</v>
      </c>
      <c r="R463" s="107">
        <f t="shared" ca="1" si="205"/>
        <v>-27.118392894060463</v>
      </c>
      <c r="S463" s="108">
        <f t="shared" ca="1" si="206"/>
        <v>-90.377866183204148</v>
      </c>
      <c r="T463" s="116">
        <f t="shared" ca="1" si="207"/>
        <v>89.622133816795852</v>
      </c>
      <c r="V463" s="72">
        <f t="shared" ca="1" si="208"/>
        <v>51584.75</v>
      </c>
      <c r="W463" s="72">
        <f t="shared" si="209"/>
        <v>2660986432.5625</v>
      </c>
      <c r="Y463" s="110">
        <f t="shared" si="210"/>
        <v>6.1959973942228261</v>
      </c>
      <c r="Z463" s="111">
        <f t="shared" si="211"/>
        <v>-13.464583816232246</v>
      </c>
      <c r="AA463" s="72">
        <f t="shared" si="212"/>
        <v>166.53541618376775</v>
      </c>
      <c r="AB463" s="110">
        <f t="shared" ca="1" si="213"/>
        <v>-17.396789941401785</v>
      </c>
      <c r="AC463" s="111">
        <f t="shared" ca="1" si="214"/>
        <v>-76.913282366971956</v>
      </c>
      <c r="AD463" s="72">
        <f t="shared" ca="1" si="215"/>
        <v>103.08671763302804</v>
      </c>
    </row>
    <row r="464" spans="1:30">
      <c r="A464" s="118">
        <v>51883.5</v>
      </c>
      <c r="B464" s="101">
        <f t="shared" ca="1" si="189"/>
        <v>2660.625315093444</v>
      </c>
      <c r="C464" s="102">
        <f t="shared" ca="1" si="190"/>
        <v>1.5704204752919169</v>
      </c>
      <c r="D464" s="102">
        <f t="shared" si="191"/>
        <v>68.954907311239012</v>
      </c>
      <c r="E464" s="103">
        <f t="shared" si="192"/>
        <v>1.556293587326985</v>
      </c>
      <c r="F464" s="101">
        <f t="shared" si="193"/>
        <v>3911.9238619649514</v>
      </c>
      <c r="G464" s="104">
        <f t="shared" si="194"/>
        <v>1.5705406980950096</v>
      </c>
      <c r="H464" s="113">
        <f t="shared" si="195"/>
        <v>4.991108860672079</v>
      </c>
      <c r="I464" s="114">
        <f t="shared" si="196"/>
        <v>1.3690747666478045</v>
      </c>
      <c r="J464" s="101">
        <f t="shared" si="197"/>
        <v>1.0005312181849328</v>
      </c>
      <c r="K464" s="104">
        <f t="shared" si="198"/>
        <v>3.2587823825779849E-2</v>
      </c>
      <c r="L464" s="102">
        <f t="shared" si="199"/>
        <v>1</v>
      </c>
      <c r="M464" s="103">
        <f t="shared" si="200"/>
        <v>1.7114666336908877E-9</v>
      </c>
      <c r="N464" s="101">
        <f t="shared" si="201"/>
        <v>1</v>
      </c>
      <c r="O464" s="104">
        <f t="shared" si="202"/>
        <v>2.73834661390542E-10</v>
      </c>
      <c r="P464" s="105">
        <f t="shared" ca="1" si="203"/>
        <v>3.0707802497943932</v>
      </c>
      <c r="Q464" s="106">
        <f t="shared" ca="1" si="204"/>
        <v>1.3305020549707587</v>
      </c>
      <c r="R464" s="107">
        <f t="shared" ca="1" si="205"/>
        <v>-27.165675846649805</v>
      </c>
      <c r="S464" s="108">
        <f t="shared" ca="1" si="206"/>
        <v>-90.45185581866815</v>
      </c>
      <c r="T464" s="116">
        <f t="shared" ca="1" si="207"/>
        <v>89.54814418133185</v>
      </c>
      <c r="V464" s="72">
        <f t="shared" ca="1" si="208"/>
        <v>51883.5</v>
      </c>
      <c r="W464" s="72">
        <f t="shared" si="209"/>
        <v>2691897572.25</v>
      </c>
      <c r="Y464" s="110">
        <f t="shared" si="210"/>
        <v>6.1939197524226941</v>
      </c>
      <c r="Z464" s="111">
        <f t="shared" si="211"/>
        <v>-13.410292289283142</v>
      </c>
      <c r="AA464" s="72">
        <f t="shared" si="212"/>
        <v>166.58970771071685</v>
      </c>
      <c r="AB464" s="110">
        <f t="shared" ca="1" si="213"/>
        <v>-17.441995252190992</v>
      </c>
      <c r="AC464" s="111">
        <f t="shared" ca="1" si="214"/>
        <v>-77.041563529385101</v>
      </c>
      <c r="AD464" s="72">
        <f t="shared" ca="1" si="215"/>
        <v>102.9584364706149</v>
      </c>
    </row>
    <row r="465" spans="1:30">
      <c r="A465" s="118">
        <v>52182.25</v>
      </c>
      <c r="B465" s="101">
        <f t="shared" ca="1" si="189"/>
        <v>2675.9454400063728</v>
      </c>
      <c r="C465" s="102">
        <f t="shared" ca="1" si="190"/>
        <v>1.5704226270892432</v>
      </c>
      <c r="D465" s="102">
        <f t="shared" si="191"/>
        <v>69.351872789999675</v>
      </c>
      <c r="E465" s="103">
        <f t="shared" si="192"/>
        <v>1.5563766058077737</v>
      </c>
      <c r="F465" s="101">
        <f t="shared" si="193"/>
        <v>3934.4490805336982</v>
      </c>
      <c r="G465" s="104">
        <f t="shared" si="194"/>
        <v>1.570542161601677</v>
      </c>
      <c r="H465" s="113">
        <f t="shared" si="195"/>
        <v>5.0186976285113767</v>
      </c>
      <c r="I465" s="114">
        <f t="shared" si="196"/>
        <v>1.3701988307003317</v>
      </c>
      <c r="J465" s="101">
        <f t="shared" si="197"/>
        <v>1.0005373517573539</v>
      </c>
      <c r="K465" s="104">
        <f t="shared" si="198"/>
        <v>3.2775333566919217E-2</v>
      </c>
      <c r="L465" s="102">
        <f t="shared" si="199"/>
        <v>1</v>
      </c>
      <c r="M465" s="103">
        <f t="shared" si="200"/>
        <v>1.7213214171348564E-9</v>
      </c>
      <c r="N465" s="101">
        <f t="shared" si="201"/>
        <v>1</v>
      </c>
      <c r="O465" s="104">
        <f t="shared" si="202"/>
        <v>2.75411426741577E-10</v>
      </c>
      <c r="P465" s="105">
        <f t="shared" ca="1" si="203"/>
        <v>3.0867288978434626</v>
      </c>
      <c r="Q465" s="106">
        <f t="shared" ca="1" si="204"/>
        <v>1.3328044309308846</v>
      </c>
      <c r="R465" s="107">
        <f t="shared" ca="1" si="205"/>
        <v>-27.212725441972477</v>
      </c>
      <c r="S465" s="108">
        <f t="shared" ca="1" si="206"/>
        <v>-90.525562167408125</v>
      </c>
      <c r="T465" s="116">
        <f t="shared" ca="1" si="207"/>
        <v>89.474437832591875</v>
      </c>
      <c r="V465" s="72">
        <f t="shared" ca="1" si="208"/>
        <v>52182.25</v>
      </c>
      <c r="W465" s="72">
        <f t="shared" si="209"/>
        <v>2722987215.0625</v>
      </c>
      <c r="Y465" s="110">
        <f t="shared" si="210"/>
        <v>6.1918755606555278</v>
      </c>
      <c r="Z465" s="111">
        <f t="shared" si="211"/>
        <v>-13.356715532175645</v>
      </c>
      <c r="AA465" s="72">
        <f t="shared" si="212"/>
        <v>166.64328446782434</v>
      </c>
      <c r="AB465" s="110">
        <f t="shared" ca="1" si="213"/>
        <v>-17.487000655746499</v>
      </c>
      <c r="AC465" s="111">
        <f t="shared" ca="1" si="214"/>
        <v>-77.168846635232512</v>
      </c>
      <c r="AD465" s="72">
        <f t="shared" ca="1" si="215"/>
        <v>102.83115336476749</v>
      </c>
    </row>
    <row r="466" spans="1:30">
      <c r="A466" s="118">
        <v>52481</v>
      </c>
      <c r="B466" s="101">
        <f t="shared" ca="1" si="189"/>
        <v>2691.2655649315511</v>
      </c>
      <c r="C466" s="102">
        <f t="shared" ca="1" si="190"/>
        <v>1.5704247543882039</v>
      </c>
      <c r="D466" s="102">
        <f t="shared" si="191"/>
        <v>69.748838741297476</v>
      </c>
      <c r="E466" s="103">
        <f t="shared" si="192"/>
        <v>1.5564586793125237</v>
      </c>
      <c r="F466" s="101">
        <f t="shared" si="193"/>
        <v>3956.9742991107755</v>
      </c>
      <c r="G466" s="104">
        <f t="shared" si="194"/>
        <v>1.5705436084462157</v>
      </c>
      <c r="H466" s="113">
        <f t="shared" si="195"/>
        <v>5.0462926682341536</v>
      </c>
      <c r="I466" s="114">
        <f t="shared" si="196"/>
        <v>1.3713106025288164</v>
      </c>
      <c r="J466" s="101">
        <f t="shared" si="197"/>
        <v>1.0005435205081392</v>
      </c>
      <c r="K466" s="104">
        <f t="shared" si="198"/>
        <v>3.2962841002506224E-2</v>
      </c>
      <c r="L466" s="102">
        <f t="shared" si="199"/>
        <v>1</v>
      </c>
      <c r="M466" s="103">
        <f t="shared" si="200"/>
        <v>1.7311762005788253E-9</v>
      </c>
      <c r="N466" s="101">
        <f t="shared" si="201"/>
        <v>1</v>
      </c>
      <c r="O466" s="104">
        <f t="shared" si="202"/>
        <v>2.76988192092612E-10</v>
      </c>
      <c r="P466" s="105">
        <f t="shared" ca="1" si="203"/>
        <v>3.1026895715248051</v>
      </c>
      <c r="Q466" s="106">
        <f t="shared" ca="1" si="204"/>
        <v>1.3350887193045193</v>
      </c>
      <c r="R466" s="107">
        <f t="shared" ca="1" si="205"/>
        <v>-27.259543932568832</v>
      </c>
      <c r="S466" s="108">
        <f t="shared" ca="1" si="206"/>
        <v>-90.598988119056415</v>
      </c>
      <c r="T466" s="116">
        <f t="shared" ca="1" si="207"/>
        <v>89.401011880943585</v>
      </c>
      <c r="V466" s="72">
        <f t="shared" ca="1" si="208"/>
        <v>52481</v>
      </c>
      <c r="W466" s="72">
        <f t="shared" si="209"/>
        <v>2754255361</v>
      </c>
      <c r="Y466" s="110">
        <f t="shared" si="210"/>
        <v>6.1898640775954883</v>
      </c>
      <c r="Z466" s="111">
        <f t="shared" si="211"/>
        <v>-13.303841980859346</v>
      </c>
      <c r="AA466" s="72">
        <f t="shared" si="212"/>
        <v>166.69615801914065</v>
      </c>
      <c r="AB466" s="110">
        <f t="shared" ca="1" si="213"/>
        <v>-17.531807663282816</v>
      </c>
      <c r="AC466" s="111">
        <f t="shared" ca="1" si="214"/>
        <v>-77.295146138197097</v>
      </c>
      <c r="AD466" s="72">
        <f t="shared" ca="1" si="215"/>
        <v>102.7048538618029</v>
      </c>
    </row>
    <row r="467" spans="1:30">
      <c r="A467" s="118">
        <v>52786.5</v>
      </c>
      <c r="B467" s="101">
        <f t="shared" ca="1" si="189"/>
        <v>2706.9318349511723</v>
      </c>
      <c r="C467" s="102">
        <f t="shared" ca="1" si="190"/>
        <v>1.5704269048501569</v>
      </c>
      <c r="D467" s="102">
        <f t="shared" si="191"/>
        <v>70.154774278085839</v>
      </c>
      <c r="E467" s="103">
        <f t="shared" si="192"/>
        <v>1.5565416466668831</v>
      </c>
      <c r="F467" s="101">
        <f t="shared" si="193"/>
        <v>3980.0084556892762</v>
      </c>
      <c r="G467" s="104">
        <f t="shared" si="194"/>
        <v>1.57054507104465</v>
      </c>
      <c r="H467" s="113">
        <f t="shared" si="195"/>
        <v>5.0745175736464931</v>
      </c>
      <c r="I467" s="114">
        <f t="shared" si="196"/>
        <v>1.3724349880320685</v>
      </c>
      <c r="J467" s="101">
        <f t="shared" si="197"/>
        <v>1.0005498650154601</v>
      </c>
      <c r="K467" s="104">
        <f t="shared" si="198"/>
        <v>3.3154582609795258E-2</v>
      </c>
      <c r="L467" s="102">
        <f t="shared" si="199"/>
        <v>1</v>
      </c>
      <c r="M467" s="103">
        <f t="shared" si="200"/>
        <v>1.7412536444018628E-9</v>
      </c>
      <c r="N467" s="101">
        <f t="shared" si="201"/>
        <v>1</v>
      </c>
      <c r="O467" s="104">
        <f t="shared" si="202"/>
        <v>2.78600583104298E-10</v>
      </c>
      <c r="P467" s="105">
        <f t="shared" ca="1" si="203"/>
        <v>3.11902316278535</v>
      </c>
      <c r="Q467" s="106">
        <f t="shared" ca="1" si="204"/>
        <v>1.3374061882645292</v>
      </c>
      <c r="R467" s="107">
        <f t="shared" ca="1" si="205"/>
        <v>-27.307183565093339</v>
      </c>
      <c r="S467" s="108">
        <f t="shared" ca="1" si="206"/>
        <v>-90.673786084059856</v>
      </c>
      <c r="T467" s="116">
        <f t="shared" ca="1" si="207"/>
        <v>89.326213915940144</v>
      </c>
      <c r="V467" s="72">
        <f t="shared" ca="1" si="208"/>
        <v>52786.5</v>
      </c>
      <c r="W467" s="72">
        <f t="shared" si="209"/>
        <v>2786414582.25</v>
      </c>
      <c r="Y467" s="110">
        <f t="shared" si="210"/>
        <v>6.1878402210499956</v>
      </c>
      <c r="Z467" s="111">
        <f t="shared" si="211"/>
        <v>-13.250489222003445</v>
      </c>
      <c r="AA467" s="72">
        <f t="shared" si="212"/>
        <v>166.74951077799656</v>
      </c>
      <c r="AB467" s="110">
        <f t="shared" ca="1" si="213"/>
        <v>-17.577423439261828</v>
      </c>
      <c r="AC467" s="111">
        <f t="shared" ca="1" si="214"/>
        <v>-77.423296862056404</v>
      </c>
      <c r="AD467" s="72">
        <f t="shared" ca="1" si="215"/>
        <v>102.5767031379436</v>
      </c>
    </row>
    <row r="468" spans="1:30">
      <c r="A468" s="118">
        <v>53092</v>
      </c>
      <c r="B468" s="101">
        <f t="shared" ca="1" si="189"/>
        <v>2722.5981049831662</v>
      </c>
      <c r="C468" s="102">
        <f t="shared" ca="1" si="190"/>
        <v>1.5704290305638979</v>
      </c>
      <c r="D468" s="102">
        <f t="shared" si="191"/>
        <v>70.560710292233892</v>
      </c>
      <c r="E468" s="103">
        <f t="shared" si="192"/>
        <v>1.5566236593988394</v>
      </c>
      <c r="F468" s="101">
        <f t="shared" si="193"/>
        <v>4003.0426122761933</v>
      </c>
      <c r="G468" s="104">
        <f t="shared" si="194"/>
        <v>1.5705465168110273</v>
      </c>
      <c r="H468" s="113">
        <f t="shared" si="195"/>
        <v>5.1027488235048075</v>
      </c>
      <c r="I468" s="114">
        <f t="shared" si="196"/>
        <v>1.3735469334738832</v>
      </c>
      <c r="J468" s="101">
        <f t="shared" si="197"/>
        <v>1.0005562463073734</v>
      </c>
      <c r="K468" s="104">
        <f t="shared" si="198"/>
        <v>3.3346321778375598E-2</v>
      </c>
      <c r="L468" s="102">
        <f t="shared" si="199"/>
        <v>1</v>
      </c>
      <c r="M468" s="103">
        <f t="shared" si="200"/>
        <v>1.7513310882249003E-9</v>
      </c>
      <c r="N468" s="101">
        <f t="shared" si="201"/>
        <v>1</v>
      </c>
      <c r="O468" s="104">
        <f t="shared" si="202"/>
        <v>2.8021297411598404E-10</v>
      </c>
      <c r="P468" s="105">
        <f t="shared" ca="1" si="203"/>
        <v>3.135369055365651</v>
      </c>
      <c r="Q468" s="106">
        <f t="shared" ca="1" si="204"/>
        <v>1.3397052945376153</v>
      </c>
      <c r="R468" s="107">
        <f t="shared" ca="1" si="205"/>
        <v>-27.354586196990599</v>
      </c>
      <c r="S468" s="108">
        <f t="shared" ca="1" si="206"/>
        <v>-90.748296881352019</v>
      </c>
      <c r="T468" s="116">
        <f t="shared" ca="1" si="207"/>
        <v>89.251703118647981</v>
      </c>
      <c r="V468" s="72">
        <f t="shared" ca="1" si="208"/>
        <v>53092</v>
      </c>
      <c r="W468" s="72">
        <f t="shared" si="209"/>
        <v>2818760464</v>
      </c>
      <c r="Y468" s="110">
        <f t="shared" si="210"/>
        <v>6.1858490636880159</v>
      </c>
      <c r="Z468" s="111">
        <f t="shared" si="211"/>
        <v>-13.197848122032076</v>
      </c>
      <c r="AA468" s="72">
        <f t="shared" si="212"/>
        <v>166.80215187796793</v>
      </c>
      <c r="AB468" s="110">
        <f t="shared" ca="1" si="213"/>
        <v>-17.622834913797114</v>
      </c>
      <c r="AC468" s="111">
        <f t="shared" ca="1" si="214"/>
        <v>-77.550448759319963</v>
      </c>
      <c r="AD468" s="72">
        <f t="shared" ca="1" si="215"/>
        <v>102.44955124068004</v>
      </c>
    </row>
    <row r="469" spans="1:30">
      <c r="A469" s="118">
        <v>53397.5</v>
      </c>
      <c r="B469" s="101">
        <f t="shared" ca="1" si="189"/>
        <v>2738.2643750273228</v>
      </c>
      <c r="C469" s="102">
        <f t="shared" ca="1" si="190"/>
        <v>1.5704311319541984</v>
      </c>
      <c r="D469" s="102">
        <f t="shared" si="191"/>
        <v>70.966646775550032</v>
      </c>
      <c r="E469" s="103">
        <f t="shared" si="192"/>
        <v>1.5567047338888935</v>
      </c>
      <c r="F469" s="101">
        <f t="shared" si="193"/>
        <v>4026.0767688713818</v>
      </c>
      <c r="G469" s="104">
        <f t="shared" si="194"/>
        <v>1.570547946034248</v>
      </c>
      <c r="H469" s="113">
        <f t="shared" si="195"/>
        <v>5.1309863130855842</v>
      </c>
      <c r="I469" s="114">
        <f t="shared" si="196"/>
        <v>1.3746466414667855</v>
      </c>
      <c r="J469" s="101">
        <f t="shared" si="197"/>
        <v>1.0005626643831753</v>
      </c>
      <c r="K469" s="104">
        <f t="shared" si="198"/>
        <v>3.3538058494195853E-2</v>
      </c>
      <c r="L469" s="102">
        <f t="shared" si="199"/>
        <v>1</v>
      </c>
      <c r="M469" s="103">
        <f t="shared" si="200"/>
        <v>1.7614085320479376E-9</v>
      </c>
      <c r="N469" s="101">
        <f t="shared" si="201"/>
        <v>1</v>
      </c>
      <c r="O469" s="104">
        <f t="shared" si="202"/>
        <v>2.8182536512767003E-10</v>
      </c>
      <c r="P469" s="105">
        <f t="shared" ca="1" si="203"/>
        <v>3.1517271153400288</v>
      </c>
      <c r="Q469" s="106">
        <f t="shared" ca="1" si="204"/>
        <v>1.341986309113137</v>
      </c>
      <c r="R469" s="107">
        <f t="shared" ca="1" si="205"/>
        <v>-27.401754137970734</v>
      </c>
      <c r="S469" s="108">
        <f t="shared" ca="1" si="206"/>
        <v>-90.822523530188789</v>
      </c>
      <c r="T469" s="116">
        <f t="shared" ca="1" si="207"/>
        <v>89.177476469811211</v>
      </c>
      <c r="V469" s="72">
        <f t="shared" ca="1" si="208"/>
        <v>53397.5</v>
      </c>
      <c r="W469" s="72">
        <f t="shared" si="209"/>
        <v>2851293006.25</v>
      </c>
      <c r="Y469" s="110">
        <f t="shared" si="210"/>
        <v>6.1838898759215493</v>
      </c>
      <c r="Z469" s="111">
        <f t="shared" si="211"/>
        <v>-13.145907087850334</v>
      </c>
      <c r="AA469" s="72">
        <f t="shared" si="212"/>
        <v>166.85409291214967</v>
      </c>
      <c r="AB469" s="110">
        <f t="shared" ca="1" si="213"/>
        <v>-17.668043667010778</v>
      </c>
      <c r="AC469" s="111">
        <f t="shared" ca="1" si="214"/>
        <v>-77.6766164423384</v>
      </c>
      <c r="AD469" s="72">
        <f t="shared" ca="1" si="215"/>
        <v>102.3233835576616</v>
      </c>
    </row>
    <row r="470" spans="1:30">
      <c r="A470" s="118">
        <v>53703</v>
      </c>
      <c r="B470" s="101">
        <f t="shared" ca="1" si="189"/>
        <v>2753.9306450834338</v>
      </c>
      <c r="C470" s="102">
        <f t="shared" ca="1" si="190"/>
        <v>1.5704332094361639</v>
      </c>
      <c r="D470" s="102">
        <f t="shared" si="191"/>
        <v>71.372583720028942</v>
      </c>
      <c r="E470" s="103">
        <f t="shared" si="192"/>
        <v>1.5567848861449347</v>
      </c>
      <c r="F470" s="101">
        <f t="shared" si="193"/>
        <v>4049.1109254747003</v>
      </c>
      <c r="G470" s="104">
        <f t="shared" si="194"/>
        <v>1.5705493589966391</v>
      </c>
      <c r="H470" s="113">
        <f t="shared" si="195"/>
        <v>5.1592299399351047</v>
      </c>
      <c r="I470" s="114">
        <f t="shared" si="196"/>
        <v>1.3757343103064539</v>
      </c>
      <c r="J470" s="101">
        <f t="shared" si="197"/>
        <v>1.000569119242158</v>
      </c>
      <c r="K470" s="104">
        <f t="shared" si="198"/>
        <v>3.3729792743205755E-2</v>
      </c>
      <c r="L470" s="102">
        <f t="shared" si="199"/>
        <v>1</v>
      </c>
      <c r="M470" s="103">
        <f t="shared" si="200"/>
        <v>1.7714859758709751E-9</v>
      </c>
      <c r="N470" s="101">
        <f t="shared" si="201"/>
        <v>1</v>
      </c>
      <c r="O470" s="104">
        <f t="shared" si="202"/>
        <v>2.8343775613935603E-10</v>
      </c>
      <c r="P470" s="105">
        <f t="shared" ca="1" si="203"/>
        <v>3.168097211737547</v>
      </c>
      <c r="Q470" s="106">
        <f t="shared" ca="1" si="204"/>
        <v>1.344249497870089</v>
      </c>
      <c r="R470" s="107">
        <f t="shared" ca="1" si="205"/>
        <v>-27.448689665605404</v>
      </c>
      <c r="S470" s="108">
        <f t="shared" ca="1" si="206"/>
        <v>-90.896469024779179</v>
      </c>
      <c r="T470" s="116">
        <f t="shared" ca="1" si="207"/>
        <v>89.103530975220821</v>
      </c>
      <c r="V470" s="72">
        <f t="shared" ca="1" si="208"/>
        <v>53703</v>
      </c>
      <c r="W470" s="72">
        <f t="shared" si="209"/>
        <v>2884012209</v>
      </c>
      <c r="Y470" s="110">
        <f t="shared" si="210"/>
        <v>6.1819619480792065</v>
      </c>
      <c r="Z470" s="111">
        <f t="shared" si="211"/>
        <v>-13.094654773323855</v>
      </c>
      <c r="AA470" s="72">
        <f t="shared" si="212"/>
        <v>166.90534522667613</v>
      </c>
      <c r="AB470" s="110">
        <f t="shared" ca="1" si="213"/>
        <v>-17.713051266803106</v>
      </c>
      <c r="AC470" s="111">
        <f t="shared" ca="1" si="214"/>
        <v>-77.801814251455298</v>
      </c>
      <c r="AD470" s="72">
        <f t="shared" ca="1" si="215"/>
        <v>102.1981857485447</v>
      </c>
    </row>
    <row r="471" spans="1:30">
      <c r="A471" s="118">
        <v>54015.75</v>
      </c>
      <c r="B471" s="101">
        <f t="shared" ca="1" si="189"/>
        <v>2769.9687006113122</v>
      </c>
      <c r="C471" s="102">
        <f t="shared" ca="1" si="190"/>
        <v>1.5704353118774712</v>
      </c>
      <c r="D471" s="102">
        <f t="shared" si="191"/>
        <v>71.788154662191076</v>
      </c>
      <c r="E471" s="103">
        <f t="shared" si="192"/>
        <v>1.5568660015516178</v>
      </c>
      <c r="F471" s="101">
        <f t="shared" si="193"/>
        <v>4072.6917191906314</v>
      </c>
      <c r="G471" s="104">
        <f t="shared" si="194"/>
        <v>1.570550788934681</v>
      </c>
      <c r="H471" s="113">
        <f t="shared" si="195"/>
        <v>5.1881500857067211</v>
      </c>
      <c r="I471" s="114">
        <f t="shared" si="196"/>
        <v>1.3768355227690439</v>
      </c>
      <c r="J471" s="101">
        <f t="shared" si="197"/>
        <v>1.0005757653873719</v>
      </c>
      <c r="K471" s="104">
        <f t="shared" si="198"/>
        <v>3.3926074580349179E-2</v>
      </c>
      <c r="L471" s="102">
        <f t="shared" si="199"/>
        <v>1</v>
      </c>
      <c r="M471" s="103">
        <f t="shared" si="200"/>
        <v>1.7818025734344939E-9</v>
      </c>
      <c r="N471" s="101">
        <f t="shared" si="201"/>
        <v>1</v>
      </c>
      <c r="O471" s="104">
        <f t="shared" si="202"/>
        <v>2.8508841174951899E-10</v>
      </c>
      <c r="P471" s="105">
        <f t="shared" ca="1" si="203"/>
        <v>3.1848681310739679</v>
      </c>
      <c r="Q471" s="106">
        <f t="shared" ca="1" si="204"/>
        <v>1.3465482026485587</v>
      </c>
      <c r="R471" s="107">
        <f t="shared" ca="1" si="205"/>
        <v>-27.496500640549876</v>
      </c>
      <c r="S471" s="108">
        <f t="shared" ca="1" si="206"/>
        <v>-90.971881220903384</v>
      </c>
      <c r="T471" s="116">
        <f t="shared" ca="1" si="207"/>
        <v>89.028118779096616</v>
      </c>
      <c r="V471" s="72">
        <f t="shared" ca="1" si="208"/>
        <v>54015.75</v>
      </c>
      <c r="W471" s="72">
        <f t="shared" si="209"/>
        <v>2917701248.0625</v>
      </c>
      <c r="Y471" s="110">
        <f t="shared" si="210"/>
        <v>6.1800199282350787</v>
      </c>
      <c r="Z471" s="111">
        <f t="shared" si="211"/>
        <v>-13.042887996592745</v>
      </c>
      <c r="AA471" s="72">
        <f t="shared" si="212"/>
        <v>166.95711200340725</v>
      </c>
      <c r="AB471" s="110">
        <f t="shared" ca="1" si="213"/>
        <v>-17.758920221903452</v>
      </c>
      <c r="AC471" s="111">
        <f t="shared" ca="1" si="214"/>
        <v>-77.928993224310645</v>
      </c>
      <c r="AD471" s="72">
        <f t="shared" ca="1" si="215"/>
        <v>102.07100677568936</v>
      </c>
    </row>
    <row r="472" spans="1:30">
      <c r="A472" s="118">
        <v>54328.5</v>
      </c>
      <c r="B472" s="101">
        <f t="shared" ca="1" si="189"/>
        <v>2786.0067561512938</v>
      </c>
      <c r="C472" s="102">
        <f t="shared" ca="1" si="190"/>
        <v>1.5704373901127566</v>
      </c>
      <c r="D472" s="102">
        <f t="shared" si="191"/>
        <v>72.203726071261187</v>
      </c>
      <c r="E472" s="103">
        <f t="shared" si="192"/>
        <v>1.5569461832329425</v>
      </c>
      <c r="F472" s="101">
        <f t="shared" si="193"/>
        <v>4096.2725129147939</v>
      </c>
      <c r="G472" s="104">
        <f t="shared" si="194"/>
        <v>1.5705522024094267</v>
      </c>
      <c r="H472" s="113">
        <f t="shared" si="195"/>
        <v>5.2170764532298879</v>
      </c>
      <c r="I472" s="114">
        <f t="shared" si="196"/>
        <v>1.377924525073847</v>
      </c>
      <c r="J472" s="101">
        <f t="shared" si="197"/>
        <v>1.0005824500808149</v>
      </c>
      <c r="K472" s="104">
        <f t="shared" si="198"/>
        <v>3.4122353802414206E-2</v>
      </c>
      <c r="L472" s="102">
        <f t="shared" si="199"/>
        <v>1</v>
      </c>
      <c r="M472" s="103">
        <f t="shared" si="200"/>
        <v>1.7921191709980127E-9</v>
      </c>
      <c r="N472" s="101">
        <f t="shared" si="201"/>
        <v>1</v>
      </c>
      <c r="O472" s="104">
        <f t="shared" si="202"/>
        <v>2.8673906735968201E-10</v>
      </c>
      <c r="P472" s="105">
        <f t="shared" ca="1" si="203"/>
        <v>3.2016513963029842</v>
      </c>
      <c r="Q472" s="106">
        <f t="shared" ca="1" si="204"/>
        <v>1.3488287734882021</v>
      </c>
      <c r="R472" s="107">
        <f t="shared" ca="1" si="205"/>
        <v>-27.544072770093614</v>
      </c>
      <c r="S472" s="108">
        <f t="shared" ca="1" si="206"/>
        <v>-91.047005027883984</v>
      </c>
      <c r="T472" s="116">
        <f t="shared" ca="1" si="207"/>
        <v>88.952994972116016</v>
      </c>
      <c r="V472" s="72">
        <f t="shared" ca="1" si="208"/>
        <v>54328.5</v>
      </c>
      <c r="W472" s="72">
        <f t="shared" si="209"/>
        <v>2951585912.25</v>
      </c>
      <c r="Y472" s="110">
        <f t="shared" si="210"/>
        <v>6.1781092256489405</v>
      </c>
      <c r="Z472" s="111">
        <f t="shared" si="211"/>
        <v>-12.991819717260448</v>
      </c>
      <c r="AA472" s="72">
        <f t="shared" si="212"/>
        <v>167.00818028273954</v>
      </c>
      <c r="AB472" s="110">
        <f t="shared" ca="1" si="213"/>
        <v>-17.804581648861049</v>
      </c>
      <c r="AC472" s="111">
        <f t="shared" ca="1" si="214"/>
        <v>-78.055185310623557</v>
      </c>
      <c r="AD472" s="72">
        <f t="shared" ca="1" si="215"/>
        <v>101.94481468937644</v>
      </c>
    </row>
    <row r="473" spans="1:30">
      <c r="A473" s="118">
        <v>54641.25</v>
      </c>
      <c r="B473" s="101">
        <f t="shared" ca="1" si="189"/>
        <v>2802.0448117031706</v>
      </c>
      <c r="C473" s="102">
        <f t="shared" ca="1" si="190"/>
        <v>1.5704394445576637</v>
      </c>
      <c r="D473" s="102">
        <f t="shared" si="191"/>
        <v>72.619297939223515</v>
      </c>
      <c r="E473" s="103">
        <f t="shared" si="192"/>
        <v>1.5570254472179057</v>
      </c>
      <c r="F473" s="101">
        <f t="shared" si="193"/>
        <v>4119.8533066470472</v>
      </c>
      <c r="G473" s="104">
        <f t="shared" si="194"/>
        <v>1.5705535997035689</v>
      </c>
      <c r="H473" s="113">
        <f t="shared" si="195"/>
        <v>5.2460089395848408</v>
      </c>
      <c r="I473" s="114">
        <f t="shared" si="196"/>
        <v>1.3790015166385907</v>
      </c>
      <c r="J473" s="101">
        <f t="shared" si="197"/>
        <v>1.0005891733217143</v>
      </c>
      <c r="K473" s="104">
        <f t="shared" si="198"/>
        <v>3.4318630394329898E-2</v>
      </c>
      <c r="L473" s="102">
        <f t="shared" si="199"/>
        <v>1</v>
      </c>
      <c r="M473" s="103">
        <f t="shared" si="200"/>
        <v>1.8024357685615315E-9</v>
      </c>
      <c r="N473" s="101">
        <f t="shared" si="201"/>
        <v>1</v>
      </c>
      <c r="O473" s="104">
        <f t="shared" si="202"/>
        <v>2.8838972296984503E-10</v>
      </c>
      <c r="P473" s="105">
        <f t="shared" ca="1" si="203"/>
        <v>3.21844687607167</v>
      </c>
      <c r="Q473" s="106">
        <f t="shared" ca="1" si="204"/>
        <v>1.3510914797423872</v>
      </c>
      <c r="R473" s="107">
        <f t="shared" ca="1" si="205"/>
        <v>-27.591408397007324</v>
      </c>
      <c r="S473" s="108">
        <f t="shared" ca="1" si="206"/>
        <v>-91.121843573492328</v>
      </c>
      <c r="T473" s="116">
        <f t="shared" ca="1" si="207"/>
        <v>88.878156426507672</v>
      </c>
      <c r="V473" s="72">
        <f t="shared" ca="1" si="208"/>
        <v>54641.25</v>
      </c>
      <c r="W473" s="72">
        <f t="shared" si="209"/>
        <v>2985666201.5625</v>
      </c>
      <c r="Y473" s="110">
        <f t="shared" si="210"/>
        <v>6.1762291396469005</v>
      </c>
      <c r="Z473" s="111">
        <f t="shared" si="211"/>
        <v>-12.941438524866415</v>
      </c>
      <c r="AA473" s="72">
        <f t="shared" si="212"/>
        <v>167.05856147513359</v>
      </c>
      <c r="AB473" s="110">
        <f t="shared" ca="1" si="213"/>
        <v>-17.850037189772717</v>
      </c>
      <c r="AC473" s="111">
        <f t="shared" ca="1" si="214"/>
        <v>-78.180405048625929</v>
      </c>
      <c r="AD473" s="72">
        <f t="shared" ca="1" si="215"/>
        <v>101.81959495137407</v>
      </c>
    </row>
    <row r="474" spans="1:30">
      <c r="A474" s="118">
        <v>54954</v>
      </c>
      <c r="B474" s="101">
        <f t="shared" ca="1" si="189"/>
        <v>2818.0828672667394</v>
      </c>
      <c r="C474" s="102">
        <f t="shared" ca="1" si="190"/>
        <v>1.5704414756183744</v>
      </c>
      <c r="D474" s="102">
        <f t="shared" si="191"/>
        <v>73.034870258244652</v>
      </c>
      <c r="E474" s="103">
        <f t="shared" si="192"/>
        <v>1.5571038091707268</v>
      </c>
      <c r="F474" s="101">
        <f t="shared" si="193"/>
        <v>4143.4341003872514</v>
      </c>
      <c r="G474" s="104">
        <f t="shared" si="194"/>
        <v>1.570554981093365</v>
      </c>
      <c r="H474" s="113">
        <f t="shared" si="195"/>
        <v>5.2749474440882933</v>
      </c>
      <c r="I474" s="114">
        <f t="shared" si="196"/>
        <v>1.3800666926178027</v>
      </c>
      <c r="J474" s="101">
        <f t="shared" si="197"/>
        <v>1.0005959351092926</v>
      </c>
      <c r="K474" s="104">
        <f t="shared" si="198"/>
        <v>3.4514904341026512E-2</v>
      </c>
      <c r="L474" s="102">
        <f t="shared" si="199"/>
        <v>1</v>
      </c>
      <c r="M474" s="103">
        <f t="shared" si="200"/>
        <v>1.8127523661250503E-9</v>
      </c>
      <c r="N474" s="101">
        <f t="shared" si="201"/>
        <v>1</v>
      </c>
      <c r="O474" s="104">
        <f t="shared" si="202"/>
        <v>2.9004037858000799E-10</v>
      </c>
      <c r="P474" s="105">
        <f t="shared" ca="1" si="203"/>
        <v>3.2352544419702407</v>
      </c>
      <c r="Q474" s="106">
        <f t="shared" ca="1" si="204"/>
        <v>1.3533365856386701</v>
      </c>
      <c r="R474" s="107">
        <f t="shared" ca="1" si="205"/>
        <v>-27.638509831305033</v>
      </c>
      <c r="S474" s="108">
        <f t="shared" ca="1" si="206"/>
        <v>-91.196399956065278</v>
      </c>
      <c r="T474" s="116">
        <f t="shared" ca="1" si="207"/>
        <v>88.803600043934722</v>
      </c>
      <c r="V474" s="72">
        <f t="shared" ca="1" si="208"/>
        <v>54954</v>
      </c>
      <c r="W474" s="72">
        <f t="shared" si="209"/>
        <v>3019942116</v>
      </c>
      <c r="Y474" s="110">
        <f t="shared" si="210"/>
        <v>6.1743789887226388</v>
      </c>
      <c r="Z474" s="111">
        <f t="shared" si="211"/>
        <v>-12.891733252844801</v>
      </c>
      <c r="AA474" s="72">
        <f t="shared" si="212"/>
        <v>167.1082667471552</v>
      </c>
      <c r="AB474" s="110">
        <f t="shared" ca="1" si="213"/>
        <v>-17.89528847314617</v>
      </c>
      <c r="AC474" s="111">
        <f t="shared" ca="1" si="214"/>
        <v>-78.304666703220462</v>
      </c>
      <c r="AD474" s="72">
        <f t="shared" ca="1" si="215"/>
        <v>101.69533329677954</v>
      </c>
    </row>
    <row r="475" spans="1:30">
      <c r="A475" s="118">
        <v>55274</v>
      </c>
      <c r="B475" s="101">
        <f t="shared" ca="1" si="189"/>
        <v>2834.4927083029088</v>
      </c>
      <c r="C475" s="102">
        <f t="shared" ca="1" si="190"/>
        <v>1.5704435299724475</v>
      </c>
      <c r="D475" s="102">
        <f t="shared" si="191"/>
        <v>73.46007660709013</v>
      </c>
      <c r="E475" s="103">
        <f t="shared" si="192"/>
        <v>1.5571830699940625</v>
      </c>
      <c r="F475" s="101">
        <f t="shared" si="193"/>
        <v>4167.5615312406353</v>
      </c>
      <c r="G475" s="104">
        <f t="shared" si="194"/>
        <v>1.5705563783257259</v>
      </c>
      <c r="H475" s="113">
        <f t="shared" si="195"/>
        <v>5.3045629115231998</v>
      </c>
      <c r="I475" s="114">
        <f t="shared" si="196"/>
        <v>1.3811445305110104</v>
      </c>
      <c r="J475" s="101">
        <f t="shared" si="197"/>
        <v>1.0006028935415179</v>
      </c>
      <c r="K475" s="104">
        <f t="shared" si="198"/>
        <v>3.471572544972705E-2</v>
      </c>
      <c r="L475" s="102">
        <f t="shared" si="199"/>
        <v>1</v>
      </c>
      <c r="M475" s="103">
        <f t="shared" si="200"/>
        <v>1.8233081174290502E-9</v>
      </c>
      <c r="N475" s="101">
        <f t="shared" si="201"/>
        <v>1</v>
      </c>
      <c r="O475" s="104">
        <f t="shared" si="202"/>
        <v>2.9172929878864804E-10</v>
      </c>
      <c r="P475" s="105">
        <f t="shared" ca="1" si="203"/>
        <v>3.2524640104131897</v>
      </c>
      <c r="Q475" s="106">
        <f t="shared" ca="1" si="204"/>
        <v>1.3556157896100725</v>
      </c>
      <c r="R475" s="107">
        <f t="shared" ca="1" si="205"/>
        <v>-27.686463122151981</v>
      </c>
      <c r="S475" s="108">
        <f t="shared" ca="1" si="206"/>
        <v>-91.272395814217944</v>
      </c>
      <c r="T475" s="116">
        <f t="shared" ca="1" si="207"/>
        <v>88.727604185782056</v>
      </c>
      <c r="V475" s="72">
        <f t="shared" ca="1" si="208"/>
        <v>55274</v>
      </c>
      <c r="W475" s="72">
        <f t="shared" si="209"/>
        <v>3055215076</v>
      </c>
      <c r="Y475" s="110">
        <f t="shared" si="210"/>
        <v>6.1725162412526107</v>
      </c>
      <c r="Z475" s="111">
        <f t="shared" si="211"/>
        <v>-12.841563947482324</v>
      </c>
      <c r="AA475" s="72">
        <f t="shared" si="212"/>
        <v>167.15843605251769</v>
      </c>
      <c r="AB475" s="110">
        <f t="shared" ca="1" si="213"/>
        <v>-17.94137901652309</v>
      </c>
      <c r="AC475" s="111">
        <f t="shared" ca="1" si="214"/>
        <v>-78.430831866735588</v>
      </c>
      <c r="AD475" s="72">
        <f t="shared" ca="1" si="215"/>
        <v>101.56916813326441</v>
      </c>
    </row>
    <row r="476" spans="1:30">
      <c r="A476" s="118">
        <v>55594</v>
      </c>
      <c r="B476" s="101">
        <f t="shared" ca="1" si="189"/>
        <v>2850.9025493509034</v>
      </c>
      <c r="C476" s="102">
        <f t="shared" ca="1" si="190"/>
        <v>1.5704455606767302</v>
      </c>
      <c r="D476" s="102">
        <f t="shared" si="191"/>
        <v>73.885283412120458</v>
      </c>
      <c r="E476" s="103">
        <f t="shared" si="192"/>
        <v>1.557261418532248</v>
      </c>
      <c r="F476" s="101">
        <f t="shared" si="193"/>
        <v>4191.6889621020628</v>
      </c>
      <c r="G476" s="104">
        <f t="shared" si="194"/>
        <v>1.5705577594731017</v>
      </c>
      <c r="H476" s="113">
        <f t="shared" si="195"/>
        <v>5.3341844730193202</v>
      </c>
      <c r="I476" s="114">
        <f t="shared" si="196"/>
        <v>1.3822103988259067</v>
      </c>
      <c r="J476" s="101">
        <f t="shared" si="197"/>
        <v>1.0006098923266127</v>
      </c>
      <c r="K476" s="104">
        <f t="shared" si="198"/>
        <v>3.4916543757232132E-2</v>
      </c>
      <c r="L476" s="102">
        <f t="shared" si="199"/>
        <v>1</v>
      </c>
      <c r="M476" s="103">
        <f t="shared" si="200"/>
        <v>1.8338638687330502E-9</v>
      </c>
      <c r="N476" s="101">
        <f t="shared" si="201"/>
        <v>1</v>
      </c>
      <c r="O476" s="104">
        <f t="shared" si="202"/>
        <v>2.9341821899728803E-10</v>
      </c>
      <c r="P476" s="105">
        <f t="shared" ca="1" si="203"/>
        <v>3.2696859689787665</v>
      </c>
      <c r="Q476" s="106">
        <f t="shared" ca="1" si="204"/>
        <v>1.3578771114762844</v>
      </c>
      <c r="R476" s="107">
        <f t="shared" ca="1" si="205"/>
        <v>-27.734176027028617</v>
      </c>
      <c r="S476" s="108">
        <f t="shared" ca="1" si="206"/>
        <v>-91.348102742491022</v>
      </c>
      <c r="T476" s="116">
        <f t="shared" ca="1" si="207"/>
        <v>88.651897257508978</v>
      </c>
      <c r="V476" s="72">
        <f t="shared" ca="1" si="208"/>
        <v>55594</v>
      </c>
      <c r="W476" s="72">
        <f t="shared" si="209"/>
        <v>3090692836</v>
      </c>
      <c r="Y476" s="110">
        <f t="shared" si="210"/>
        <v>6.1706834481402053</v>
      </c>
      <c r="Z476" s="111">
        <f t="shared" si="211"/>
        <v>-12.792079366341985</v>
      </c>
      <c r="AA476" s="72">
        <f t="shared" si="212"/>
        <v>167.20792063365801</v>
      </c>
      <c r="AB476" s="110">
        <f t="shared" ca="1" si="213"/>
        <v>-17.98725912828732</v>
      </c>
      <c r="AC476" s="111">
        <f t="shared" ca="1" si="214"/>
        <v>-78.556023376149028</v>
      </c>
      <c r="AD476" s="72">
        <f t="shared" ca="1" si="215"/>
        <v>101.44397662385097</v>
      </c>
    </row>
    <row r="477" spans="1:30">
      <c r="A477" s="118">
        <v>55914</v>
      </c>
      <c r="B477" s="101">
        <f t="shared" ca="1" si="189"/>
        <v>2867.3123904105205</v>
      </c>
      <c r="C477" s="102">
        <f t="shared" ca="1" si="190"/>
        <v>1.5704475681372714</v>
      </c>
      <c r="D477" s="102">
        <f t="shared" si="191"/>
        <v>74.31049066550473</v>
      </c>
      <c r="E477" s="103">
        <f t="shared" si="192"/>
        <v>1.5573388704446964</v>
      </c>
      <c r="F477" s="101">
        <f t="shared" si="193"/>
        <v>4215.8163929713928</v>
      </c>
      <c r="G477" s="104">
        <f t="shared" si="194"/>
        <v>1.5705591248116593</v>
      </c>
      <c r="H477" s="113">
        <f t="shared" si="195"/>
        <v>5.3638120276136059</v>
      </c>
      <c r="I477" s="114">
        <f t="shared" si="196"/>
        <v>1.3832644934659015</v>
      </c>
      <c r="J477" s="101">
        <f t="shared" si="197"/>
        <v>1.0006169314637305</v>
      </c>
      <c r="K477" s="104">
        <f t="shared" si="198"/>
        <v>3.5117359247403494E-2</v>
      </c>
      <c r="L477" s="102">
        <f t="shared" si="199"/>
        <v>1</v>
      </c>
      <c r="M477" s="103">
        <f t="shared" si="200"/>
        <v>1.8444196200370501E-9</v>
      </c>
      <c r="N477" s="101">
        <f t="shared" si="201"/>
        <v>1</v>
      </c>
      <c r="O477" s="104">
        <f t="shared" si="202"/>
        <v>2.9510713920592802E-10</v>
      </c>
      <c r="P477" s="105">
        <f t="shared" ca="1" si="203"/>
        <v>3.2869201892272333</v>
      </c>
      <c r="Q477" s="106">
        <f t="shared" ca="1" si="204"/>
        <v>1.3601208183525346</v>
      </c>
      <c r="R477" s="107">
        <f t="shared" ca="1" si="205"/>
        <v>-27.781650917770339</v>
      </c>
      <c r="S477" s="108">
        <f t="shared" ca="1" si="206"/>
        <v>-91.42352396196641</v>
      </c>
      <c r="T477" s="116">
        <f t="shared" ca="1" si="207"/>
        <v>88.57647603803359</v>
      </c>
      <c r="V477" s="72">
        <f t="shared" ca="1" si="208"/>
        <v>55914</v>
      </c>
      <c r="W477" s="72">
        <f t="shared" si="209"/>
        <v>3126375396</v>
      </c>
      <c r="Y477" s="110">
        <f t="shared" si="210"/>
        <v>6.1688799377055528</v>
      </c>
      <c r="Z477" s="111">
        <f t="shared" si="211"/>
        <v>-12.743268299883733</v>
      </c>
      <c r="AA477" s="72">
        <f t="shared" si="212"/>
        <v>167.25673170011626</v>
      </c>
      <c r="AB477" s="110">
        <f t="shared" ca="1" si="213"/>
        <v>-18.032930508594387</v>
      </c>
      <c r="AC477" s="111">
        <f t="shared" ca="1" si="214"/>
        <v>-78.680255662082629</v>
      </c>
      <c r="AD477" s="72">
        <f t="shared" ca="1" si="215"/>
        <v>101.31974433791737</v>
      </c>
    </row>
    <row r="478" spans="1:30">
      <c r="A478" s="118">
        <v>56234</v>
      </c>
      <c r="B478" s="101">
        <f t="shared" ca="1" si="189"/>
        <v>2883.7222314815608</v>
      </c>
      <c r="C478" s="102">
        <f t="shared" ca="1" si="190"/>
        <v>1.5704495527508764</v>
      </c>
      <c r="D478" s="102">
        <f t="shared" si="191"/>
        <v>74.735698359590231</v>
      </c>
      <c r="E478" s="103">
        <f t="shared" si="192"/>
        <v>1.5574154410344887</v>
      </c>
      <c r="F478" s="101">
        <f t="shared" si="193"/>
        <v>4239.9438238484936</v>
      </c>
      <c r="G478" s="104">
        <f t="shared" si="194"/>
        <v>1.5705604746112789</v>
      </c>
      <c r="H478" s="113">
        <f t="shared" si="195"/>
        <v>5.3934454765412623</v>
      </c>
      <c r="I478" s="114">
        <f t="shared" si="196"/>
        <v>1.3843070061349279</v>
      </c>
      <c r="J478" s="101">
        <f t="shared" si="197"/>
        <v>1.0006240109520197</v>
      </c>
      <c r="K478" s="104">
        <f t="shared" si="198"/>
        <v>3.5318171904104259E-2</v>
      </c>
      <c r="L478" s="102">
        <f t="shared" si="199"/>
        <v>1</v>
      </c>
      <c r="M478" s="103">
        <f t="shared" si="200"/>
        <v>1.8549753713410502E-9</v>
      </c>
      <c r="N478" s="101">
        <f t="shared" si="201"/>
        <v>1</v>
      </c>
      <c r="O478" s="104">
        <f t="shared" si="202"/>
        <v>2.9679605941456801E-10</v>
      </c>
      <c r="P478" s="105">
        <f t="shared" ca="1" si="203"/>
        <v>3.3041665456419222</v>
      </c>
      <c r="Q478" s="106">
        <f t="shared" ca="1" si="204"/>
        <v>1.3623471722292249</v>
      </c>
      <c r="R478" s="107">
        <f t="shared" ca="1" si="205"/>
        <v>-27.828890132895893</v>
      </c>
      <c r="S478" s="108">
        <f t="shared" ca="1" si="206"/>
        <v>-91.498662660233819</v>
      </c>
      <c r="T478" s="116">
        <f t="shared" ca="1" si="207"/>
        <v>88.501337339766181</v>
      </c>
      <c r="V478" s="72">
        <f t="shared" ca="1" si="208"/>
        <v>56234</v>
      </c>
      <c r="W478" s="72">
        <f t="shared" si="209"/>
        <v>3162262756</v>
      </c>
      <c r="Y478" s="110">
        <f t="shared" si="210"/>
        <v>6.1671050566707377</v>
      </c>
      <c r="Z478" s="111">
        <f t="shared" si="211"/>
        <v>-12.695119778819734</v>
      </c>
      <c r="AA478" s="72">
        <f t="shared" si="212"/>
        <v>167.30488022118027</v>
      </c>
      <c r="AB478" s="110">
        <f t="shared" ca="1" si="213"/>
        <v>-18.078394842685132</v>
      </c>
      <c r="AC478" s="111">
        <f t="shared" ca="1" si="214"/>
        <v>-78.803542881414074</v>
      </c>
      <c r="AD478" s="72">
        <f t="shared" ca="1" si="215"/>
        <v>101.19645711858593</v>
      </c>
    </row>
    <row r="479" spans="1:30">
      <c r="A479" s="118">
        <v>56561.5</v>
      </c>
      <c r="B479" s="101">
        <f t="shared" ca="1" si="189"/>
        <v>2900.5166782143287</v>
      </c>
      <c r="C479" s="102">
        <f t="shared" ca="1" si="190"/>
        <v>1.5704515606270888</v>
      </c>
      <c r="D479" s="102">
        <f t="shared" si="191"/>
        <v>75.170872307517527</v>
      </c>
      <c r="E479" s="103">
        <f t="shared" si="192"/>
        <v>1.5574929093044423</v>
      </c>
      <c r="F479" s="101">
        <f t="shared" si="193"/>
        <v>4264.6367413946828</v>
      </c>
      <c r="G479" s="104">
        <f t="shared" si="194"/>
        <v>1.5705618402325459</v>
      </c>
      <c r="H479" s="113">
        <f t="shared" si="195"/>
        <v>5.4237794617852524</v>
      </c>
      <c r="I479" s="114">
        <f t="shared" si="196"/>
        <v>1.3853621561194325</v>
      </c>
      <c r="J479" s="101">
        <f t="shared" si="197"/>
        <v>1.0006312981457719</v>
      </c>
      <c r="K479" s="104">
        <f t="shared" si="198"/>
        <v>3.552368815674567E-2</v>
      </c>
      <c r="L479" s="102">
        <f t="shared" si="199"/>
        <v>1</v>
      </c>
      <c r="M479" s="103">
        <f t="shared" si="200"/>
        <v>1.8657785230662375E-9</v>
      </c>
      <c r="N479" s="101">
        <f t="shared" si="201"/>
        <v>1</v>
      </c>
      <c r="O479" s="104">
        <f t="shared" si="202"/>
        <v>2.98524563690598E-10</v>
      </c>
      <c r="P479" s="105">
        <f t="shared" ca="1" si="203"/>
        <v>3.3218295517105672</v>
      </c>
      <c r="Q479" s="106">
        <f t="shared" ca="1" si="204"/>
        <v>1.364608006579056</v>
      </c>
      <c r="R479" s="107">
        <f t="shared" ca="1" si="205"/>
        <v>-27.876994897278191</v>
      </c>
      <c r="S479" s="108">
        <f t="shared" ca="1" si="206"/>
        <v>-91.575273181510411</v>
      </c>
      <c r="T479" s="116">
        <f t="shared" ca="1" si="207"/>
        <v>88.424726818489589</v>
      </c>
      <c r="V479" s="72">
        <f t="shared" ca="1" si="208"/>
        <v>56561.5</v>
      </c>
      <c r="W479" s="72">
        <f t="shared" si="209"/>
        <v>3199203282.25</v>
      </c>
      <c r="Y479" s="110">
        <f t="shared" si="210"/>
        <v>6.1653175576029877</v>
      </c>
      <c r="Z479" s="111">
        <f t="shared" si="211"/>
        <v>-12.646517595611559</v>
      </c>
      <c r="AA479" s="72">
        <f t="shared" si="212"/>
        <v>167.35348240438844</v>
      </c>
      <c r="AB479" s="110">
        <f t="shared" ca="1" si="213"/>
        <v>-18.12471210799967</v>
      </c>
      <c r="AC479" s="111">
        <f t="shared" ca="1" si="214"/>
        <v>-78.928755585898912</v>
      </c>
      <c r="AD479" s="72">
        <f t="shared" ca="1" si="215"/>
        <v>101.07124441410109</v>
      </c>
    </row>
    <row r="480" spans="1:30">
      <c r="A480" s="118">
        <v>56889</v>
      </c>
      <c r="B480" s="101">
        <f t="shared" ca="1" si="189"/>
        <v>2917.3111249586564</v>
      </c>
      <c r="C480" s="102">
        <f t="shared" ca="1" si="190"/>
        <v>1.5704535453853212</v>
      </c>
      <c r="D480" s="102">
        <f t="shared" si="191"/>
        <v>75.606046701377053</v>
      </c>
      <c r="E480" s="103">
        <f t="shared" si="192"/>
        <v>1.5575694857888394</v>
      </c>
      <c r="F480" s="101">
        <f t="shared" si="193"/>
        <v>4289.3296589487336</v>
      </c>
      <c r="G480" s="104">
        <f t="shared" si="194"/>
        <v>1.5705631901305295</v>
      </c>
      <c r="H480" s="113">
        <f t="shared" si="195"/>
        <v>5.4541194183756154</v>
      </c>
      <c r="I480" s="114">
        <f t="shared" si="196"/>
        <v>1.3864055681628986</v>
      </c>
      <c r="J480" s="101">
        <f t="shared" si="197"/>
        <v>1.0006386276025017</v>
      </c>
      <c r="K480" s="104">
        <f t="shared" si="198"/>
        <v>3.5729201407344993E-2</v>
      </c>
      <c r="L480" s="102">
        <f t="shared" si="199"/>
        <v>1</v>
      </c>
      <c r="M480" s="103">
        <f t="shared" si="200"/>
        <v>1.876581674791425E-9</v>
      </c>
      <c r="N480" s="101">
        <f t="shared" si="201"/>
        <v>1</v>
      </c>
      <c r="O480" s="104">
        <f t="shared" si="202"/>
        <v>3.0025306796662803E-10</v>
      </c>
      <c r="P480" s="105">
        <f t="shared" ca="1" si="203"/>
        <v>3.3395050125478005</v>
      </c>
      <c r="Q480" s="106">
        <f t="shared" ca="1" si="204"/>
        <v>1.3668512042962349</v>
      </c>
      <c r="R480" s="107">
        <f t="shared" ca="1" si="205"/>
        <v>-27.924857661291263</v>
      </c>
      <c r="S480" s="108">
        <f t="shared" ca="1" si="206"/>
        <v>-91.651594430756447</v>
      </c>
      <c r="T480" s="116">
        <f t="shared" ca="1" si="207"/>
        <v>88.348405569243553</v>
      </c>
      <c r="V480" s="72">
        <f t="shared" ca="1" si="208"/>
        <v>56889</v>
      </c>
      <c r="W480" s="72">
        <f t="shared" si="209"/>
        <v>3236358321</v>
      </c>
      <c r="Y480" s="110">
        <f t="shared" si="210"/>
        <v>6.1635587175907505</v>
      </c>
      <c r="Z480" s="111">
        <f t="shared" si="211"/>
        <v>-12.598586874003695</v>
      </c>
      <c r="AA480" s="72">
        <f t="shared" si="212"/>
        <v>167.4014131259963</v>
      </c>
      <c r="AB480" s="110">
        <f t="shared" ca="1" si="213"/>
        <v>-18.170816032000513</v>
      </c>
      <c r="AC480" s="111">
        <f t="shared" ca="1" si="214"/>
        <v>-79.053007556752775</v>
      </c>
      <c r="AD480" s="72">
        <f t="shared" ca="1" si="215"/>
        <v>100.94699244324723</v>
      </c>
    </row>
    <row r="481" spans="1:30">
      <c r="A481" s="118">
        <v>57216.5</v>
      </c>
      <c r="B481" s="101">
        <f t="shared" ca="1" si="189"/>
        <v>2934.1055717143449</v>
      </c>
      <c r="C481" s="102">
        <f t="shared" ca="1" si="190"/>
        <v>1.5704555074225468</v>
      </c>
      <c r="D481" s="102">
        <f t="shared" si="191"/>
        <v>76.041221533512797</v>
      </c>
      <c r="E481" s="103">
        <f t="shared" si="192"/>
        <v>1.5576451857975211</v>
      </c>
      <c r="F481" s="101">
        <f t="shared" si="193"/>
        <v>4314.0225765105115</v>
      </c>
      <c r="G481" s="104">
        <f t="shared" si="194"/>
        <v>1.5705645245752233</v>
      </c>
      <c r="H481" s="113">
        <f t="shared" si="195"/>
        <v>5.4844652472122313</v>
      </c>
      <c r="I481" s="114">
        <f t="shared" si="196"/>
        <v>1.3874374348142204</v>
      </c>
      <c r="J481" s="101">
        <f t="shared" si="197"/>
        <v>1.0006459993212802</v>
      </c>
      <c r="K481" s="104">
        <f t="shared" si="198"/>
        <v>3.5934711638608396E-2</v>
      </c>
      <c r="L481" s="102">
        <f t="shared" si="199"/>
        <v>1</v>
      </c>
      <c r="M481" s="103">
        <f t="shared" si="200"/>
        <v>1.8873848265166125E-9</v>
      </c>
      <c r="N481" s="101">
        <f t="shared" si="201"/>
        <v>1</v>
      </c>
      <c r="O481" s="104">
        <f t="shared" si="202"/>
        <v>3.0198157224265801E-10</v>
      </c>
      <c r="P481" s="105">
        <f t="shared" ca="1" si="203"/>
        <v>3.3571928026545117</v>
      </c>
      <c r="Q481" s="106">
        <f t="shared" ca="1" si="204"/>
        <v>1.3690770303074611</v>
      </c>
      <c r="R481" s="107">
        <f t="shared" ca="1" si="205"/>
        <v>-27.972480827340043</v>
      </c>
      <c r="S481" s="108">
        <f t="shared" ca="1" si="206"/>
        <v>-91.72762971494889</v>
      </c>
      <c r="T481" s="116">
        <f t="shared" ca="1" si="207"/>
        <v>88.27237028505111</v>
      </c>
      <c r="V481" s="72">
        <f t="shared" ca="1" si="208"/>
        <v>57216.5</v>
      </c>
      <c r="W481" s="72">
        <f t="shared" si="209"/>
        <v>3273727872.25</v>
      </c>
      <c r="Y481" s="110">
        <f t="shared" si="210"/>
        <v>6.1618278923785574</v>
      </c>
      <c r="Z481" s="111">
        <f t="shared" si="211"/>
        <v>-12.551316596235806</v>
      </c>
      <c r="AA481" s="72">
        <f t="shared" si="212"/>
        <v>167.44868340376419</v>
      </c>
      <c r="AB481" s="110">
        <f t="shared" ca="1" si="213"/>
        <v>-18.216708372837097</v>
      </c>
      <c r="AC481" s="111">
        <f t="shared" ca="1" si="214"/>
        <v>-79.176313118713082</v>
      </c>
      <c r="AD481" s="72">
        <f t="shared" ca="1" si="215"/>
        <v>100.82368688128692</v>
      </c>
    </row>
    <row r="482" spans="1:30">
      <c r="A482" s="118">
        <v>57544</v>
      </c>
      <c r="B482" s="101">
        <f t="shared" ca="1" si="189"/>
        <v>2950.9000184811989</v>
      </c>
      <c r="C482" s="102">
        <f t="shared" ca="1" si="190"/>
        <v>1.5704574471267014</v>
      </c>
      <c r="D482" s="102">
        <f t="shared" si="191"/>
        <v>76.476396796442941</v>
      </c>
      <c r="E482" s="103">
        <f t="shared" si="192"/>
        <v>1.5577200242918972</v>
      </c>
      <c r="F482" s="101">
        <f t="shared" si="193"/>
        <v>4338.7154940798828</v>
      </c>
      <c r="G482" s="104">
        <f t="shared" si="194"/>
        <v>1.5705658438304759</v>
      </c>
      <c r="H482" s="113">
        <f t="shared" si="195"/>
        <v>5.5148168513572431</v>
      </c>
      <c r="I482" s="114">
        <f t="shared" si="196"/>
        <v>1.3884579444829868</v>
      </c>
      <c r="J482" s="101">
        <f t="shared" si="197"/>
        <v>1.0006534133011737</v>
      </c>
      <c r="K482" s="104">
        <f t="shared" si="198"/>
        <v>3.6140218833243587E-2</v>
      </c>
      <c r="L482" s="102">
        <f t="shared" si="199"/>
        <v>1</v>
      </c>
      <c r="M482" s="103">
        <f t="shared" si="200"/>
        <v>1.8981879782418E-9</v>
      </c>
      <c r="N482" s="101">
        <f t="shared" si="201"/>
        <v>1</v>
      </c>
      <c r="O482" s="104">
        <f t="shared" si="202"/>
        <v>3.0371007651868799E-10</v>
      </c>
      <c r="P482" s="105">
        <f t="shared" ca="1" si="203"/>
        <v>3.3748927994355462</v>
      </c>
      <c r="Q482" s="106">
        <f t="shared" ca="1" si="204"/>
        <v>1.3712857444156095</v>
      </c>
      <c r="R482" s="107">
        <f t="shared" ca="1" si="205"/>
        <v>-28.019866763910098</v>
      </c>
      <c r="S482" s="108">
        <f t="shared" ca="1" si="206"/>
        <v>-91.803382303749743</v>
      </c>
      <c r="T482" s="116">
        <f t="shared" ca="1" si="207"/>
        <v>88.196617696250257</v>
      </c>
      <c r="V482" s="72">
        <f t="shared" ca="1" si="208"/>
        <v>57544</v>
      </c>
      <c r="W482" s="72">
        <f t="shared" si="209"/>
        <v>3311311936</v>
      </c>
      <c r="Y482" s="110">
        <f t="shared" si="210"/>
        <v>6.1601244553911805</v>
      </c>
      <c r="Z482" s="111">
        <f t="shared" si="211"/>
        <v>-12.504695981360241</v>
      </c>
      <c r="AA482" s="72">
        <f t="shared" si="212"/>
        <v>167.49530401863976</v>
      </c>
      <c r="AB482" s="110">
        <f t="shared" ca="1" si="213"/>
        <v>-18.262390872419768</v>
      </c>
      <c r="AC482" s="111">
        <f t="shared" ca="1" si="214"/>
        <v>-79.2986863223895</v>
      </c>
      <c r="AD482" s="72">
        <f t="shared" ca="1" si="215"/>
        <v>100.7013136776105</v>
      </c>
    </row>
    <row r="483" spans="1:30">
      <c r="A483" s="118">
        <v>57879</v>
      </c>
      <c r="B483" s="101">
        <f t="shared" ca="1" si="189"/>
        <v>2968.0790709105586</v>
      </c>
      <c r="C483" s="102">
        <f t="shared" ca="1" si="190"/>
        <v>1.5704594085406898</v>
      </c>
      <c r="D483" s="102">
        <f t="shared" si="191"/>
        <v>76.921538343172344</v>
      </c>
      <c r="E483" s="103">
        <f t="shared" si="192"/>
        <v>1.5577957005531999</v>
      </c>
      <c r="F483" s="101">
        <f t="shared" si="193"/>
        <v>4363.9738983188727</v>
      </c>
      <c r="G483" s="104">
        <f t="shared" si="194"/>
        <v>1.5705671778512842</v>
      </c>
      <c r="H483" s="113">
        <f t="shared" si="195"/>
        <v>5.5458694067646555</v>
      </c>
      <c r="I483" s="114">
        <f t="shared" si="196"/>
        <v>1.3894902667104343</v>
      </c>
      <c r="J483" s="101">
        <f t="shared" si="197"/>
        <v>1.0006610407898013</v>
      </c>
      <c r="K483" s="104">
        <f t="shared" si="198"/>
        <v>3.6350429139749681E-2</v>
      </c>
      <c r="L483" s="102">
        <f t="shared" si="199"/>
        <v>1</v>
      </c>
      <c r="M483" s="103">
        <f t="shared" si="200"/>
        <v>1.9092385303881754E-9</v>
      </c>
      <c r="N483" s="101">
        <f t="shared" si="201"/>
        <v>1</v>
      </c>
      <c r="O483" s="104">
        <f t="shared" si="202"/>
        <v>3.0547816486210802E-10</v>
      </c>
      <c r="P483" s="105">
        <f t="shared" ca="1" si="203"/>
        <v>3.3930106440056016</v>
      </c>
      <c r="Q483" s="106">
        <f t="shared" ca="1" si="204"/>
        <v>1.373527601158675</v>
      </c>
      <c r="R483" s="107">
        <f t="shared" ca="1" si="205"/>
        <v>-28.068094868079029</v>
      </c>
      <c r="S483" s="108">
        <f t="shared" ca="1" si="206"/>
        <v>-91.880580573722938</v>
      </c>
      <c r="T483" s="116">
        <f t="shared" ca="1" si="207"/>
        <v>88.119419426277062</v>
      </c>
      <c r="V483" s="72">
        <f t="shared" ca="1" si="208"/>
        <v>57879</v>
      </c>
      <c r="W483" s="72">
        <f t="shared" si="209"/>
        <v>3349978641</v>
      </c>
      <c r="Y483" s="110">
        <f t="shared" si="210"/>
        <v>6.1584097093391534</v>
      </c>
      <c r="Z483" s="111">
        <f t="shared" si="211"/>
        <v>-12.457668871179408</v>
      </c>
      <c r="AA483" s="72">
        <f t="shared" si="212"/>
        <v>167.54233112882059</v>
      </c>
      <c r="AB483" s="110">
        <f t="shared" ca="1" si="213"/>
        <v>-18.308904230536676</v>
      </c>
      <c r="AC483" s="111">
        <f t="shared" ca="1" si="214"/>
        <v>-79.422911702543502</v>
      </c>
      <c r="AD483" s="72">
        <f t="shared" ca="1" si="215"/>
        <v>100.5770882974565</v>
      </c>
    </row>
    <row r="484" spans="1:30">
      <c r="A484" s="118">
        <v>58214</v>
      </c>
      <c r="B484" s="101">
        <f t="shared" ca="1" si="189"/>
        <v>2985.2581233512051</v>
      </c>
      <c r="C484" s="102">
        <f t="shared" ca="1" si="190"/>
        <v>1.5704613473802591</v>
      </c>
      <c r="D484" s="102">
        <f t="shared" si="191"/>
        <v>77.366680325354238</v>
      </c>
      <c r="E484" s="103">
        <f t="shared" si="192"/>
        <v>1.5578705059831734</v>
      </c>
      <c r="F484" s="101">
        <f t="shared" si="193"/>
        <v>4389.2323025655387</v>
      </c>
      <c r="G484" s="104">
        <f t="shared" si="194"/>
        <v>1.5705684965185025</v>
      </c>
      <c r="H484" s="113">
        <f t="shared" si="195"/>
        <v>5.5769278065252896</v>
      </c>
      <c r="I484" s="114">
        <f t="shared" si="196"/>
        <v>1.390511091829759</v>
      </c>
      <c r="J484" s="101">
        <f t="shared" si="197"/>
        <v>1.0006687124953371</v>
      </c>
      <c r="K484" s="104">
        <f t="shared" si="198"/>
        <v>3.6560636232356593E-2</v>
      </c>
      <c r="L484" s="102">
        <f t="shared" si="199"/>
        <v>1</v>
      </c>
      <c r="M484" s="103">
        <f t="shared" si="200"/>
        <v>1.9202890825345503E-9</v>
      </c>
      <c r="N484" s="101">
        <f t="shared" si="201"/>
        <v>1</v>
      </c>
      <c r="O484" s="104">
        <f t="shared" si="202"/>
        <v>3.0724625320552799E-10</v>
      </c>
      <c r="P484" s="105">
        <f t="shared" ca="1" si="203"/>
        <v>3.4111410102470257</v>
      </c>
      <c r="Q484" s="106">
        <f t="shared" ca="1" si="204"/>
        <v>1.3757520872671218</v>
      </c>
      <c r="R484" s="107">
        <f t="shared" ca="1" si="205"/>
        <v>-28.116079660080672</v>
      </c>
      <c r="S484" s="108">
        <f t="shared" ca="1" si="206"/>
        <v>-91.95748985311883</v>
      </c>
      <c r="T484" s="116">
        <f t="shared" ca="1" si="207"/>
        <v>88.04251014688117</v>
      </c>
      <c r="V484" s="72">
        <f t="shared" ca="1" si="208"/>
        <v>58214</v>
      </c>
      <c r="W484" s="72">
        <f t="shared" si="209"/>
        <v>3388869796</v>
      </c>
      <c r="Y484" s="110">
        <f t="shared" si="210"/>
        <v>6.1567223482600859</v>
      </c>
      <c r="Z484" s="111">
        <f t="shared" si="211"/>
        <v>-12.411299432932623</v>
      </c>
      <c r="AA484" s="72">
        <f t="shared" si="212"/>
        <v>167.58870056706738</v>
      </c>
      <c r="AB484" s="110">
        <f t="shared" ca="1" si="213"/>
        <v>-18.355201661459255</v>
      </c>
      <c r="AC484" s="111">
        <f t="shared" ca="1" si="214"/>
        <v>-79.546190420186178</v>
      </c>
      <c r="AD484" s="72">
        <f t="shared" ca="1" si="215"/>
        <v>100.45380957981382</v>
      </c>
    </row>
    <row r="485" spans="1:30">
      <c r="A485" s="118">
        <v>58549</v>
      </c>
      <c r="B485" s="101">
        <f t="shared" ca="1" si="189"/>
        <v>3002.4371758029447</v>
      </c>
      <c r="C485" s="102">
        <f t="shared" ca="1" si="190"/>
        <v>1.5704632640329019</v>
      </c>
      <c r="D485" s="102">
        <f t="shared" si="191"/>
        <v>77.811822735515221</v>
      </c>
      <c r="E485" s="103">
        <f t="shared" si="192"/>
        <v>1.5579444555264119</v>
      </c>
      <c r="F485" s="101">
        <f t="shared" si="193"/>
        <v>4414.4907068197508</v>
      </c>
      <c r="G485" s="104">
        <f t="shared" si="194"/>
        <v>1.5705698000956767</v>
      </c>
      <c r="H485" s="113">
        <f t="shared" si="195"/>
        <v>5.6079919535368701</v>
      </c>
      <c r="I485" s="114">
        <f t="shared" si="196"/>
        <v>1.3915206087520657</v>
      </c>
      <c r="J485" s="101">
        <f t="shared" si="197"/>
        <v>1.0006764284167637</v>
      </c>
      <c r="K485" s="104">
        <f t="shared" si="198"/>
        <v>3.6770840092561631E-2</v>
      </c>
      <c r="L485" s="102">
        <f t="shared" si="199"/>
        <v>1</v>
      </c>
      <c r="M485" s="103">
        <f t="shared" si="200"/>
        <v>1.9313396346809252E-9</v>
      </c>
      <c r="N485" s="101">
        <f t="shared" si="201"/>
        <v>1</v>
      </c>
      <c r="O485" s="104">
        <f t="shared" si="202"/>
        <v>3.0901434154894802E-10</v>
      </c>
      <c r="P485" s="105">
        <f t="shared" ca="1" si="203"/>
        <v>3.4292837759203398</v>
      </c>
      <c r="Q485" s="106">
        <f t="shared" ca="1" si="204"/>
        <v>1.3779594649246889</v>
      </c>
      <c r="R485" s="107">
        <f t="shared" ca="1" si="205"/>
        <v>-28.163823568761231</v>
      </c>
      <c r="S485" s="108">
        <f t="shared" ca="1" si="206"/>
        <v>-92.034113520129566</v>
      </c>
      <c r="T485" s="116">
        <f t="shared" ca="1" si="207"/>
        <v>87.965886479870434</v>
      </c>
      <c r="V485" s="72">
        <f t="shared" ca="1" si="208"/>
        <v>58549</v>
      </c>
      <c r="W485" s="72">
        <f t="shared" si="209"/>
        <v>3427985401</v>
      </c>
      <c r="Y485" s="110">
        <f t="shared" si="210"/>
        <v>6.1550617552763596</v>
      </c>
      <c r="Z485" s="111">
        <f t="shared" si="211"/>
        <v>-12.365576856850792</v>
      </c>
      <c r="AA485" s="72">
        <f t="shared" si="212"/>
        <v>167.63442314314921</v>
      </c>
      <c r="AB485" s="110">
        <f t="shared" ca="1" si="213"/>
        <v>-18.401284977156088</v>
      </c>
      <c r="AC485" s="111">
        <f t="shared" ca="1" si="214"/>
        <v>-79.6685366632788</v>
      </c>
      <c r="AD485" s="72">
        <f t="shared" ca="1" si="215"/>
        <v>100.3314633367212</v>
      </c>
    </row>
    <row r="486" spans="1:30">
      <c r="A486" s="118">
        <v>58884</v>
      </c>
      <c r="B486" s="101">
        <f t="shared" ca="1" si="189"/>
        <v>3019.6162282655891</v>
      </c>
      <c r="C486" s="102">
        <f t="shared" ca="1" si="190"/>
        <v>1.5704651588772924</v>
      </c>
      <c r="D486" s="102">
        <f t="shared" si="191"/>
        <v>78.256965566352036</v>
      </c>
      <c r="E486" s="103">
        <f t="shared" si="192"/>
        <v>1.5580175637875158</v>
      </c>
      <c r="F486" s="101">
        <f t="shared" si="193"/>
        <v>4439.749111081378</v>
      </c>
      <c r="G486" s="104">
        <f t="shared" si="194"/>
        <v>1.5705710888403557</v>
      </c>
      <c r="H486" s="113">
        <f t="shared" si="195"/>
        <v>5.6390617528189981</v>
      </c>
      <c r="I486" s="114">
        <f t="shared" si="196"/>
        <v>1.3925190023184066</v>
      </c>
      <c r="J486" s="101">
        <f t="shared" si="197"/>
        <v>1.0006841885530586</v>
      </c>
      <c r="K486" s="104">
        <f t="shared" si="198"/>
        <v>3.6981040701863775E-2</v>
      </c>
      <c r="L486" s="102">
        <f t="shared" si="199"/>
        <v>1</v>
      </c>
      <c r="M486" s="103">
        <f t="shared" si="200"/>
        <v>1.9423901868273001E-9</v>
      </c>
      <c r="N486" s="101">
        <f t="shared" si="201"/>
        <v>1</v>
      </c>
      <c r="O486" s="104">
        <f t="shared" si="202"/>
        <v>3.1078242989236804E-10</v>
      </c>
      <c r="P486" s="105">
        <f t="shared" ca="1" si="203"/>
        <v>3.4474388216630119</v>
      </c>
      <c r="Q486" s="106">
        <f t="shared" ca="1" si="204"/>
        <v>1.3801499912078792</v>
      </c>
      <c r="R486" s="107">
        <f t="shared" ca="1" si="205"/>
        <v>-28.211328988509198</v>
      </c>
      <c r="S486" s="108">
        <f t="shared" ca="1" si="206"/>
        <v>-92.110454912152534</v>
      </c>
      <c r="T486" s="116">
        <f t="shared" ca="1" si="207"/>
        <v>87.889545087847466</v>
      </c>
      <c r="V486" s="72">
        <f t="shared" ca="1" si="208"/>
        <v>58884</v>
      </c>
      <c r="W486" s="72">
        <f t="shared" si="209"/>
        <v>3467325456</v>
      </c>
      <c r="Y486" s="110">
        <f t="shared" si="210"/>
        <v>6.1534273304578502</v>
      </c>
      <c r="Z486" s="111">
        <f t="shared" si="211"/>
        <v>-12.320490566018135</v>
      </c>
      <c r="AA486" s="72">
        <f t="shared" si="212"/>
        <v>167.67950943398188</v>
      </c>
      <c r="AB486" s="110">
        <f t="shared" ca="1" si="213"/>
        <v>-18.447155972085547</v>
      </c>
      <c r="AC486" s="111">
        <f t="shared" ca="1" si="214"/>
        <v>-79.789964346134454</v>
      </c>
      <c r="AD486" s="72">
        <f t="shared" ca="1" si="215"/>
        <v>100.21003565386555</v>
      </c>
    </row>
    <row r="487" spans="1:30">
      <c r="A487" s="118">
        <v>59227</v>
      </c>
      <c r="B487" s="101">
        <f t="shared" ca="1" si="189"/>
        <v>3037.2055267682967</v>
      </c>
      <c r="C487" s="102">
        <f t="shared" ca="1" si="190"/>
        <v>1.5704670767625053</v>
      </c>
      <c r="D487" s="102">
        <f t="shared" si="191"/>
        <v>78.712739102157215</v>
      </c>
      <c r="E487" s="103">
        <f t="shared" si="192"/>
        <v>1.5580915611653627</v>
      </c>
      <c r="F487" s="101">
        <f t="shared" si="193"/>
        <v>4465.6107011239701</v>
      </c>
      <c r="G487" s="104">
        <f t="shared" si="194"/>
        <v>1.5705723932558386</v>
      </c>
      <c r="H487" s="113">
        <f t="shared" si="195"/>
        <v>5.670879276784504</v>
      </c>
      <c r="I487" s="114">
        <f t="shared" si="196"/>
        <v>1.3935299020201093</v>
      </c>
      <c r="J487" s="101">
        <f t="shared" si="197"/>
        <v>1.0006921798162591</v>
      </c>
      <c r="K487" s="104">
        <f t="shared" si="198"/>
        <v>3.7196257639609064E-2</v>
      </c>
      <c r="L487" s="102">
        <f t="shared" si="199"/>
        <v>1</v>
      </c>
      <c r="M487" s="103">
        <f t="shared" si="200"/>
        <v>1.9537046327562751E-9</v>
      </c>
      <c r="N487" s="101">
        <f t="shared" si="201"/>
        <v>1</v>
      </c>
      <c r="O487" s="104">
        <f t="shared" si="202"/>
        <v>3.1259274124100404E-10</v>
      </c>
      <c r="P487" s="105">
        <f t="shared" ca="1" si="203"/>
        <v>3.4660400224816419</v>
      </c>
      <c r="Q487" s="106">
        <f t="shared" ca="1" si="204"/>
        <v>1.3823756319942893</v>
      </c>
      <c r="R487" s="107">
        <f t="shared" ca="1" si="205"/>
        <v>-28.259724231279641</v>
      </c>
      <c r="S487" s="108">
        <f t="shared" ca="1" si="206"/>
        <v>-92.18833035804893</v>
      </c>
      <c r="T487" s="116">
        <f t="shared" ca="1" si="207"/>
        <v>87.81166964195107</v>
      </c>
      <c r="V487" s="72">
        <f t="shared" ca="1" si="208"/>
        <v>59227</v>
      </c>
      <c r="W487" s="72">
        <f t="shared" si="209"/>
        <v>3507837529</v>
      </c>
      <c r="Y487" s="110">
        <f t="shared" si="210"/>
        <v>6.1517803782750828</v>
      </c>
      <c r="Z487" s="111">
        <f t="shared" si="211"/>
        <v>-12.27497603871743</v>
      </c>
      <c r="AA487" s="72">
        <f t="shared" si="212"/>
        <v>167.72502396128257</v>
      </c>
      <c r="AB487" s="110">
        <f t="shared" ca="1" si="213"/>
        <v>-18.493904262673215</v>
      </c>
      <c r="AC487" s="111">
        <f t="shared" ca="1" si="214"/>
        <v>-79.913354319331532</v>
      </c>
      <c r="AD487" s="72">
        <f t="shared" ca="1" si="215"/>
        <v>100.08664568066847</v>
      </c>
    </row>
    <row r="488" spans="1:30">
      <c r="A488" s="118">
        <v>59570</v>
      </c>
      <c r="B488" s="101">
        <f t="shared" ca="1" si="189"/>
        <v>3054.7948252820465</v>
      </c>
      <c r="C488" s="102">
        <f t="shared" ca="1" si="190"/>
        <v>1.5704689725616159</v>
      </c>
      <c r="D488" s="102">
        <f t="shared" si="191"/>
        <v>79.168513064000265</v>
      </c>
      <c r="E488" s="103">
        <f t="shared" si="192"/>
        <v>1.5581647065362423</v>
      </c>
      <c r="F488" s="101">
        <f t="shared" si="193"/>
        <v>4491.4722911740737</v>
      </c>
      <c r="G488" s="104">
        <f t="shared" si="194"/>
        <v>1.5705736826498515</v>
      </c>
      <c r="H488" s="113">
        <f t="shared" si="195"/>
        <v>5.7027025312544364</v>
      </c>
      <c r="I488" s="114">
        <f t="shared" si="196"/>
        <v>1.3945295203223118</v>
      </c>
      <c r="J488" s="101">
        <f t="shared" si="197"/>
        <v>1.0007002174291089</v>
      </c>
      <c r="K488" s="104">
        <f t="shared" si="198"/>
        <v>3.7411471130082523E-2</v>
      </c>
      <c r="L488" s="102">
        <f t="shared" si="199"/>
        <v>1</v>
      </c>
      <c r="M488" s="103">
        <f t="shared" si="200"/>
        <v>1.9650190786852501E-9</v>
      </c>
      <c r="N488" s="101">
        <f t="shared" si="201"/>
        <v>1</v>
      </c>
      <c r="O488" s="104">
        <f t="shared" si="202"/>
        <v>3.1440305258964003E-10</v>
      </c>
      <c r="P488" s="105">
        <f t="shared" ca="1" si="203"/>
        <v>3.4846538525689805</v>
      </c>
      <c r="Q488" s="106">
        <f t="shared" ca="1" si="204"/>
        <v>1.3845841364971574</v>
      </c>
      <c r="R488" s="107">
        <f t="shared" ca="1" si="205"/>
        <v>-28.307874430816042</v>
      </c>
      <c r="S488" s="108">
        <f t="shared" ca="1" si="206"/>
        <v>-92.265916836581752</v>
      </c>
      <c r="T488" s="116">
        <f t="shared" ca="1" si="207"/>
        <v>87.734083163418248</v>
      </c>
      <c r="V488" s="72">
        <f t="shared" ca="1" si="208"/>
        <v>59570</v>
      </c>
      <c r="W488" s="72">
        <f t="shared" si="209"/>
        <v>3548584900</v>
      </c>
      <c r="Y488" s="110">
        <f t="shared" si="210"/>
        <v>6.150159638208077</v>
      </c>
      <c r="Z488" s="111">
        <f t="shared" si="211"/>
        <v>-12.230106829814844</v>
      </c>
      <c r="AA488" s="72">
        <f t="shared" si="212"/>
        <v>167.76989317018516</v>
      </c>
      <c r="AB488" s="110">
        <f t="shared" ca="1" si="213"/>
        <v>-18.540433722142613</v>
      </c>
      <c r="AC488" s="111">
        <f t="shared" ca="1" si="214"/>
        <v>-80.035810006766951</v>
      </c>
      <c r="AD488" s="72">
        <f t="shared" ca="1" si="215"/>
        <v>99.964189993233049</v>
      </c>
    </row>
    <row r="489" spans="1:30">
      <c r="A489" s="118">
        <v>59913</v>
      </c>
      <c r="B489" s="101">
        <f t="shared" ca="1" si="189"/>
        <v>3072.3841238066507</v>
      </c>
      <c r="C489" s="102">
        <f t="shared" ca="1" si="190"/>
        <v>1.5704708466539508</v>
      </c>
      <c r="D489" s="102">
        <f t="shared" si="191"/>
        <v>79.624287444565184</v>
      </c>
      <c r="E489" s="103">
        <f t="shared" si="192"/>
        <v>1.5582370145301878</v>
      </c>
      <c r="F489" s="101">
        <f t="shared" si="193"/>
        <v>4517.3338812315587</v>
      </c>
      <c r="G489" s="104">
        <f t="shared" si="194"/>
        <v>1.5705749572803867</v>
      </c>
      <c r="H489" s="113">
        <f t="shared" si="195"/>
        <v>5.7345314208260749</v>
      </c>
      <c r="I489" s="114">
        <f t="shared" si="196"/>
        <v>1.3955180430590128</v>
      </c>
      <c r="J489" s="101">
        <f t="shared" si="197"/>
        <v>1.0007083013904909</v>
      </c>
      <c r="K489" s="104">
        <f t="shared" si="198"/>
        <v>3.7626681153431429E-2</v>
      </c>
      <c r="L489" s="102">
        <f t="shared" si="199"/>
        <v>1</v>
      </c>
      <c r="M489" s="103">
        <f t="shared" si="200"/>
        <v>1.9763335246142251E-9</v>
      </c>
      <c r="N489" s="101">
        <f t="shared" si="201"/>
        <v>1</v>
      </c>
      <c r="O489" s="104">
        <f t="shared" si="202"/>
        <v>3.1621336393827603E-10</v>
      </c>
      <c r="P489" s="105">
        <f t="shared" ca="1" si="203"/>
        <v>3.5032801927213364</v>
      </c>
      <c r="Q489" s="106">
        <f t="shared" ca="1" si="204"/>
        <v>1.3867757647792067</v>
      </c>
      <c r="R489" s="107">
        <f t="shared" ca="1" si="205"/>
        <v>-28.355782049020775</v>
      </c>
      <c r="S489" s="108">
        <f t="shared" ca="1" si="206"/>
        <v>-92.343217797882858</v>
      </c>
      <c r="T489" s="116">
        <f t="shared" ca="1" si="207"/>
        <v>87.656782202117142</v>
      </c>
      <c r="V489" s="72">
        <f t="shared" ca="1" si="208"/>
        <v>59913</v>
      </c>
      <c r="W489" s="72">
        <f t="shared" si="209"/>
        <v>3589567569</v>
      </c>
      <c r="Y489" s="110">
        <f t="shared" si="210"/>
        <v>6.1485645179903292</v>
      </c>
      <c r="Z489" s="111">
        <f t="shared" si="211"/>
        <v>-12.185872305450957</v>
      </c>
      <c r="AA489" s="72">
        <f t="shared" si="212"/>
        <v>167.81412769454903</v>
      </c>
      <c r="AB489" s="110">
        <f t="shared" ca="1" si="213"/>
        <v>-18.586746220129598</v>
      </c>
      <c r="AC489" s="111">
        <f t="shared" ca="1" si="214"/>
        <v>-80.157345492431844</v>
      </c>
      <c r="AD489" s="72">
        <f t="shared" ca="1" si="215"/>
        <v>99.842654507568156</v>
      </c>
    </row>
    <row r="490" spans="1:30">
      <c r="A490" s="118">
        <v>60256</v>
      </c>
      <c r="B490" s="101">
        <f t="shared" ca="1" si="189"/>
        <v>3089.9734223419227</v>
      </c>
      <c r="C490" s="102">
        <f t="shared" ca="1" si="190"/>
        <v>1.5704726994101996</v>
      </c>
      <c r="D490" s="102">
        <f t="shared" si="191"/>
        <v>80.080062236702503</v>
      </c>
      <c r="E490" s="103">
        <f t="shared" si="192"/>
        <v>1.5583084994442014</v>
      </c>
      <c r="F490" s="101">
        <f t="shared" si="193"/>
        <v>4543.1954712962988</v>
      </c>
      <c r="G490" s="104">
        <f t="shared" si="194"/>
        <v>1.5705762173995619</v>
      </c>
      <c r="H490" s="113">
        <f t="shared" si="195"/>
        <v>5.7663658521863876</v>
      </c>
      <c r="I490" s="114">
        <f t="shared" si="196"/>
        <v>1.3964956520483018</v>
      </c>
      <c r="J490" s="101">
        <f t="shared" si="197"/>
        <v>1.0007164316992825</v>
      </c>
      <c r="K490" s="104">
        <f t="shared" si="198"/>
        <v>3.7841887689805002E-2</v>
      </c>
      <c r="L490" s="102">
        <f t="shared" si="199"/>
        <v>1</v>
      </c>
      <c r="M490" s="103">
        <f t="shared" si="200"/>
        <v>1.9876479705432001E-9</v>
      </c>
      <c r="N490" s="101">
        <f t="shared" si="201"/>
        <v>1</v>
      </c>
      <c r="O490" s="104">
        <f t="shared" si="202"/>
        <v>3.1802367528691203E-10</v>
      </c>
      <c r="P490" s="105">
        <f t="shared" ca="1" si="203"/>
        <v>3.5219189265941879</v>
      </c>
      <c r="Q490" s="106">
        <f t="shared" ca="1" si="204"/>
        <v>1.3889507717976763</v>
      </c>
      <c r="R490" s="107">
        <f t="shared" ca="1" si="205"/>
        <v>-28.403449512662974</v>
      </c>
      <c r="S490" s="108">
        <f t="shared" ca="1" si="206"/>
        <v>-92.42023664790554</v>
      </c>
      <c r="T490" s="116">
        <f t="shared" ca="1" si="207"/>
        <v>87.57976335209446</v>
      </c>
      <c r="V490" s="72">
        <f t="shared" ca="1" si="208"/>
        <v>60256</v>
      </c>
      <c r="W490" s="72">
        <f t="shared" si="209"/>
        <v>3630785536</v>
      </c>
      <c r="Y490" s="110">
        <f t="shared" si="210"/>
        <v>6.1469944416588831</v>
      </c>
      <c r="Z490" s="111">
        <f t="shared" si="211"/>
        <v>-12.142262061524528</v>
      </c>
      <c r="AA490" s="72">
        <f t="shared" si="212"/>
        <v>167.85773793847548</v>
      </c>
      <c r="AB490" s="110">
        <f t="shared" ca="1" si="213"/>
        <v>-18.63284360744035</v>
      </c>
      <c r="AC490" s="111">
        <f t="shared" ca="1" si="214"/>
        <v>-80.277974586381021</v>
      </c>
      <c r="AD490" s="72">
        <f t="shared" ca="1" si="215"/>
        <v>99.722025413618979</v>
      </c>
    </row>
    <row r="491" spans="1:30">
      <c r="A491" s="118">
        <v>60607</v>
      </c>
      <c r="B491" s="101">
        <f t="shared" ca="1" si="189"/>
        <v>3107.9729669180269</v>
      </c>
      <c r="C491" s="102">
        <f t="shared" ca="1" si="190"/>
        <v>1.5704745736690173</v>
      </c>
      <c r="D491" s="102">
        <f t="shared" si="191"/>
        <v>80.546467763485623</v>
      </c>
      <c r="E491" s="103">
        <f t="shared" si="192"/>
        <v>1.5583808141218358</v>
      </c>
      <c r="F491" s="101">
        <f t="shared" si="193"/>
        <v>4569.6602471425267</v>
      </c>
      <c r="G491" s="104">
        <f t="shared" si="194"/>
        <v>1.5705774921433255</v>
      </c>
      <c r="H491" s="113">
        <f t="shared" si="195"/>
        <v>5.7989484195297614</v>
      </c>
      <c r="I491" s="114">
        <f t="shared" si="196"/>
        <v>1.3974849494656119</v>
      </c>
      <c r="J491" s="101">
        <f t="shared" si="197"/>
        <v>1.0007247996165882</v>
      </c>
      <c r="K491" s="104">
        <f t="shared" si="198"/>
        <v>3.8062109989987436E-2</v>
      </c>
      <c r="L491" s="102">
        <f t="shared" si="199"/>
        <v>1</v>
      </c>
      <c r="M491" s="103">
        <f t="shared" si="200"/>
        <v>1.9992263102547752E-9</v>
      </c>
      <c r="N491" s="101">
        <f t="shared" si="201"/>
        <v>1</v>
      </c>
      <c r="O491" s="104">
        <f t="shared" si="202"/>
        <v>3.19876209640764E-10</v>
      </c>
      <c r="P491" s="105">
        <f t="shared" ca="1" si="203"/>
        <v>3.5410050953565197</v>
      </c>
      <c r="Q491" s="106">
        <f t="shared" ca="1" si="204"/>
        <v>1.3911595613235757</v>
      </c>
      <c r="R491" s="107">
        <f t="shared" ca="1" si="205"/>
        <v>-28.451982627772182</v>
      </c>
      <c r="S491" s="108">
        <f t="shared" ca="1" si="206"/>
        <v>-92.498763305497164</v>
      </c>
      <c r="T491" s="116">
        <f t="shared" ca="1" si="207"/>
        <v>87.501236694502836</v>
      </c>
      <c r="V491" s="72">
        <f t="shared" ca="1" si="208"/>
        <v>60607</v>
      </c>
      <c r="W491" s="72">
        <f t="shared" si="209"/>
        <v>3673208449</v>
      </c>
      <c r="Y491" s="110">
        <f t="shared" si="210"/>
        <v>6.1454130879817477</v>
      </c>
      <c r="Z491" s="111">
        <f t="shared" si="211"/>
        <v>-12.09827034001469</v>
      </c>
      <c r="AA491" s="72">
        <f t="shared" si="212"/>
        <v>167.90172965998531</v>
      </c>
      <c r="AB491" s="110">
        <f t="shared" ca="1" si="213"/>
        <v>-18.679795368872423</v>
      </c>
      <c r="AC491" s="111">
        <f t="shared" ca="1" si="214"/>
        <v>-80.400492965482428</v>
      </c>
      <c r="AD491" s="72">
        <f t="shared" ca="1" si="215"/>
        <v>99.599507034517572</v>
      </c>
    </row>
    <row r="492" spans="1:30">
      <c r="A492" s="118">
        <v>60958</v>
      </c>
      <c r="B492" s="101">
        <f t="shared" ca="1" si="189"/>
        <v>3125.9725115049232</v>
      </c>
      <c r="C492" s="102">
        <f t="shared" ca="1" si="190"/>
        <v>1.5704764263436368</v>
      </c>
      <c r="D492" s="102">
        <f t="shared" si="191"/>
        <v>81.012873706629449</v>
      </c>
      <c r="E492" s="103">
        <f t="shared" si="192"/>
        <v>1.5584522961421681</v>
      </c>
      <c r="F492" s="101">
        <f t="shared" si="193"/>
        <v>4596.1250229960951</v>
      </c>
      <c r="G492" s="104">
        <f t="shared" si="194"/>
        <v>1.5705787522069805</v>
      </c>
      <c r="H492" s="113">
        <f t="shared" si="195"/>
        <v>5.8315365989338064</v>
      </c>
      <c r="I492" s="114">
        <f t="shared" si="196"/>
        <v>1.3984631909166203</v>
      </c>
      <c r="J492" s="101">
        <f t="shared" si="197"/>
        <v>1.0007332160660936</v>
      </c>
      <c r="K492" s="104">
        <f t="shared" si="198"/>
        <v>3.8282328596586146E-2</v>
      </c>
      <c r="L492" s="102">
        <f t="shared" si="199"/>
        <v>1</v>
      </c>
      <c r="M492" s="103">
        <f t="shared" si="200"/>
        <v>2.0108046499663502E-9</v>
      </c>
      <c r="N492" s="101">
        <f t="shared" si="201"/>
        <v>1</v>
      </c>
      <c r="O492" s="104">
        <f t="shared" si="202"/>
        <v>3.2172874399461602E-10</v>
      </c>
      <c r="P492" s="105">
        <f t="shared" ca="1" si="203"/>
        <v>3.5601040050679855</v>
      </c>
      <c r="Q492" s="106">
        <f t="shared" ca="1" si="204"/>
        <v>1.3933514695527227</v>
      </c>
      <c r="R492" s="107">
        <f t="shared" ca="1" si="205"/>
        <v>-28.50026928710426</v>
      </c>
      <c r="S492" s="108">
        <f t="shared" ca="1" si="206"/>
        <v>-92.577001614569951</v>
      </c>
      <c r="T492" s="116">
        <f t="shared" ca="1" si="207"/>
        <v>87.422998385430049</v>
      </c>
      <c r="V492" s="72">
        <f t="shared" ca="1" si="208"/>
        <v>60958</v>
      </c>
      <c r="W492" s="72">
        <f t="shared" si="209"/>
        <v>3715877764</v>
      </c>
      <c r="Y492" s="110">
        <f t="shared" si="210"/>
        <v>6.1438567897009744</v>
      </c>
      <c r="Z492" s="111">
        <f t="shared" si="211"/>
        <v>-12.054911025978067</v>
      </c>
      <c r="AA492" s="72">
        <f t="shared" si="212"/>
        <v>167.94508897402193</v>
      </c>
      <c r="AB492" s="110">
        <f t="shared" ca="1" si="213"/>
        <v>-18.726525729923733</v>
      </c>
      <c r="AC492" s="111">
        <f t="shared" ca="1" si="214"/>
        <v>-80.52209058859188</v>
      </c>
      <c r="AD492" s="72">
        <f t="shared" ca="1" si="215"/>
        <v>99.47790941140812</v>
      </c>
    </row>
    <row r="493" spans="1:30">
      <c r="A493" s="118">
        <v>61309</v>
      </c>
      <c r="B493" s="101">
        <f t="shared" ca="1" si="189"/>
        <v>3143.972056102426</v>
      </c>
      <c r="C493" s="102">
        <f t="shared" ca="1" si="190"/>
        <v>1.5704782578047731</v>
      </c>
      <c r="D493" s="102">
        <f t="shared" si="191"/>
        <v>81.479280058984003</v>
      </c>
      <c r="E493" s="103">
        <f t="shared" si="192"/>
        <v>1.5585229598034336</v>
      </c>
      <c r="F493" s="101">
        <f t="shared" si="193"/>
        <v>4622.5897988568777</v>
      </c>
      <c r="G493" s="104">
        <f t="shared" si="194"/>
        <v>1.5705799978426616</v>
      </c>
      <c r="H493" s="113">
        <f t="shared" si="195"/>
        <v>5.8641302968363922</v>
      </c>
      <c r="I493" s="114">
        <f t="shared" si="196"/>
        <v>1.3994305588653344</v>
      </c>
      <c r="J493" s="101">
        <f t="shared" si="197"/>
        <v>1.0007416810465743</v>
      </c>
      <c r="K493" s="104">
        <f t="shared" si="198"/>
        <v>3.8502543488335025E-2</v>
      </c>
      <c r="L493" s="102">
        <f t="shared" si="199"/>
        <v>1</v>
      </c>
      <c r="M493" s="103">
        <f t="shared" si="200"/>
        <v>2.0223829896779253E-9</v>
      </c>
      <c r="N493" s="101">
        <f t="shared" si="201"/>
        <v>1</v>
      </c>
      <c r="O493" s="104">
        <f t="shared" si="202"/>
        <v>3.2358127834846804E-10</v>
      </c>
      <c r="P493" s="105">
        <f t="shared" ca="1" si="203"/>
        <v>3.5792155398929877</v>
      </c>
      <c r="Q493" s="106">
        <f t="shared" ca="1" si="204"/>
        <v>1.3955267538696834</v>
      </c>
      <c r="R493" s="107">
        <f t="shared" ca="1" si="205"/>
        <v>-28.548311981171331</v>
      </c>
      <c r="S493" s="108">
        <f t="shared" ca="1" si="206"/>
        <v>-92.654955082995514</v>
      </c>
      <c r="T493" s="116">
        <f t="shared" ca="1" si="207"/>
        <v>87.345044917004486</v>
      </c>
      <c r="V493" s="72">
        <f t="shared" ca="1" si="208"/>
        <v>61309</v>
      </c>
      <c r="W493" s="72">
        <f t="shared" si="209"/>
        <v>3758793481</v>
      </c>
      <c r="Y493" s="110">
        <f t="shared" si="210"/>
        <v>6.1423249792191248</v>
      </c>
      <c r="Z493" s="111">
        <f t="shared" si="211"/>
        <v>-12.012173678224933</v>
      </c>
      <c r="AA493" s="72">
        <f t="shared" si="212"/>
        <v>167.98782632177506</v>
      </c>
      <c r="AB493" s="110">
        <f t="shared" ca="1" si="213"/>
        <v>-18.773036613508953</v>
      </c>
      <c r="AC493" s="111">
        <f t="shared" ca="1" si="214"/>
        <v>-80.642781404770631</v>
      </c>
      <c r="AD493" s="72">
        <f t="shared" ca="1" si="215"/>
        <v>99.357218595229369</v>
      </c>
    </row>
    <row r="494" spans="1:30">
      <c r="A494" s="118">
        <v>61660</v>
      </c>
      <c r="B494" s="101">
        <f t="shared" ca="1" si="189"/>
        <v>3161.9716007103548</v>
      </c>
      <c r="C494" s="102">
        <f t="shared" ca="1" si="190"/>
        <v>1.5704800684146996</v>
      </c>
      <c r="D494" s="102">
        <f t="shared" si="191"/>
        <v>81.945686813562006</v>
      </c>
      <c r="E494" s="103">
        <f t="shared" si="192"/>
        <v>1.5585928190783784</v>
      </c>
      <c r="F494" s="101">
        <f t="shared" si="193"/>
        <v>4649.0545747247506</v>
      </c>
      <c r="G494" s="104">
        <f t="shared" si="194"/>
        <v>1.5705812292967627</v>
      </c>
      <c r="H494" s="113">
        <f t="shared" si="195"/>
        <v>5.8967294217283497</v>
      </c>
      <c r="I494" s="114">
        <f t="shared" si="196"/>
        <v>1.400387231823301</v>
      </c>
      <c r="J494" s="101">
        <f t="shared" si="197"/>
        <v>1.0007501945567985</v>
      </c>
      <c r="K494" s="104">
        <f t="shared" si="198"/>
        <v>3.8722754643970174E-2</v>
      </c>
      <c r="L494" s="102">
        <f t="shared" si="199"/>
        <v>1</v>
      </c>
      <c r="M494" s="103">
        <f t="shared" si="200"/>
        <v>2.0339613293895004E-9</v>
      </c>
      <c r="N494" s="101">
        <f t="shared" si="201"/>
        <v>1</v>
      </c>
      <c r="O494" s="104">
        <f t="shared" si="202"/>
        <v>3.2543381270232001E-10</v>
      </c>
      <c r="P494" s="105">
        <f t="shared" ca="1" si="203"/>
        <v>3.5983395868293151</v>
      </c>
      <c r="Q494" s="106">
        <f t="shared" ca="1" si="204"/>
        <v>1.3976856665710218</v>
      </c>
      <c r="R494" s="107">
        <f t="shared" ca="1" si="205"/>
        <v>-28.59611316474966</v>
      </c>
      <c r="S494" s="108">
        <f t="shared" ca="1" si="206"/>
        <v>-92.732627171420333</v>
      </c>
      <c r="T494" s="116">
        <f t="shared" ca="1" si="207"/>
        <v>87.267372828579667</v>
      </c>
      <c r="V494" s="72">
        <f t="shared" ca="1" si="208"/>
        <v>61660</v>
      </c>
      <c r="W494" s="72">
        <f t="shared" si="209"/>
        <v>3801955600</v>
      </c>
      <c r="Y494" s="110">
        <f t="shared" si="210"/>
        <v>6.1408171045847251</v>
      </c>
      <c r="Z494" s="111">
        <f t="shared" si="211"/>
        <v>-11.970048081696014</v>
      </c>
      <c r="AA494" s="72">
        <f t="shared" si="212"/>
        <v>168.02995191830399</v>
      </c>
      <c r="AB494" s="110">
        <f t="shared" ca="1" si="213"/>
        <v>-18.81932992245288</v>
      </c>
      <c r="AC494" s="111">
        <f t="shared" ca="1" si="214"/>
        <v>-80.762579089724326</v>
      </c>
      <c r="AD494" s="72">
        <f t="shared" ca="1" si="215"/>
        <v>99.237420910275674</v>
      </c>
    </row>
    <row r="495" spans="1:30">
      <c r="A495" s="118">
        <v>62019</v>
      </c>
      <c r="B495" s="101">
        <f t="shared" ca="1" si="189"/>
        <v>3180.3813913598337</v>
      </c>
      <c r="C495" s="102">
        <f t="shared" ca="1" si="190"/>
        <v>1.5704818990916047</v>
      </c>
      <c r="D495" s="102">
        <f t="shared" si="191"/>
        <v>82.422724330482779</v>
      </c>
      <c r="E495" s="103">
        <f t="shared" si="192"/>
        <v>1.5586634527242638</v>
      </c>
      <c r="F495" s="101">
        <f t="shared" si="193"/>
        <v>4676.1225363745989</v>
      </c>
      <c r="G495" s="104">
        <f t="shared" si="194"/>
        <v>1.5705824743990615</v>
      </c>
      <c r="H495" s="113">
        <f t="shared" si="195"/>
        <v>5.9300770672677618</v>
      </c>
      <c r="I495" s="114">
        <f t="shared" si="196"/>
        <v>1.4013548279153265</v>
      </c>
      <c r="J495" s="101">
        <f t="shared" si="197"/>
        <v>1.0007589523073361</v>
      </c>
      <c r="K495" s="104">
        <f t="shared" si="198"/>
        <v>3.8947980970307827E-2</v>
      </c>
      <c r="L495" s="102">
        <f t="shared" si="199"/>
        <v>1</v>
      </c>
      <c r="M495" s="103">
        <f t="shared" si="200"/>
        <v>2.0458035628836751E-9</v>
      </c>
      <c r="N495" s="101">
        <f t="shared" si="201"/>
        <v>1</v>
      </c>
      <c r="O495" s="104">
        <f t="shared" si="202"/>
        <v>3.27328570061388E-10</v>
      </c>
      <c r="P495" s="105">
        <f t="shared" ca="1" si="203"/>
        <v>3.6179123377174172</v>
      </c>
      <c r="Q495" s="106">
        <f t="shared" ca="1" si="204"/>
        <v>1.3998771074424268</v>
      </c>
      <c r="R495" s="107">
        <f t="shared" ca="1" si="205"/>
        <v>-28.644756525876936</v>
      </c>
      <c r="S495" s="108">
        <f t="shared" ca="1" si="206"/>
        <v>-92.81178204887901</v>
      </c>
      <c r="T495" s="116">
        <f t="shared" ca="1" si="207"/>
        <v>87.18821795112099</v>
      </c>
      <c r="V495" s="72">
        <f t="shared" ca="1" si="208"/>
        <v>62019</v>
      </c>
      <c r="W495" s="72">
        <f t="shared" si="209"/>
        <v>3846356361</v>
      </c>
      <c r="Y495" s="110">
        <f t="shared" si="210"/>
        <v>6.1392990633800659</v>
      </c>
      <c r="Z495" s="111">
        <f t="shared" si="211"/>
        <v>-11.927584765772291</v>
      </c>
      <c r="AA495" s="72">
        <f t="shared" si="212"/>
        <v>168.07241523422772</v>
      </c>
      <c r="AB495" s="110">
        <f t="shared" ca="1" si="213"/>
        <v>-18.866455242375498</v>
      </c>
      <c r="AC495" s="111">
        <f t="shared" ca="1" si="214"/>
        <v>-80.884197283106744</v>
      </c>
      <c r="AD495" s="72">
        <f t="shared" ca="1" si="215"/>
        <v>99.115802716893256</v>
      </c>
    </row>
    <row r="496" spans="1:30">
      <c r="A496" s="118">
        <v>62378</v>
      </c>
      <c r="B496" s="101">
        <f t="shared" ca="1" si="189"/>
        <v>3198.7911820198483</v>
      </c>
      <c r="C496" s="102">
        <f t="shared" ca="1" si="190"/>
        <v>1.5704837086965633</v>
      </c>
      <c r="D496" s="102">
        <f t="shared" si="191"/>
        <v>82.899762253887161</v>
      </c>
      <c r="E496" s="103">
        <f t="shared" si="192"/>
        <v>1.5587332734627888</v>
      </c>
      <c r="F496" s="101">
        <f t="shared" si="193"/>
        <v>4703.190498031614</v>
      </c>
      <c r="G496" s="104">
        <f t="shared" si="194"/>
        <v>1.5705837051696503</v>
      </c>
      <c r="H496" s="113">
        <f t="shared" si="195"/>
        <v>5.9634302026988388</v>
      </c>
      <c r="I496" s="114">
        <f t="shared" si="196"/>
        <v>1.4023116014718962</v>
      </c>
      <c r="J496" s="101">
        <f t="shared" si="197"/>
        <v>1.0007677608223811</v>
      </c>
      <c r="K496" s="104">
        <f t="shared" si="198"/>
        <v>3.9173203343295167E-2</v>
      </c>
      <c r="L496" s="102">
        <f t="shared" si="199"/>
        <v>1</v>
      </c>
      <c r="M496" s="103">
        <f t="shared" si="200"/>
        <v>2.0576457963778503E-9</v>
      </c>
      <c r="N496" s="101">
        <f t="shared" si="201"/>
        <v>1</v>
      </c>
      <c r="O496" s="104">
        <f t="shared" si="202"/>
        <v>3.29223327420456E-10</v>
      </c>
      <c r="P496" s="105">
        <f t="shared" ca="1" si="203"/>
        <v>3.6374979472213034</v>
      </c>
      <c r="Q496" s="106">
        <f t="shared" ca="1" si="204"/>
        <v>1.4020519400031617</v>
      </c>
      <c r="R496" s="107">
        <f t="shared" ca="1" si="205"/>
        <v>-28.69315232487002</v>
      </c>
      <c r="S496" s="108">
        <f t="shared" ca="1" si="206"/>
        <v>-92.890649747006961</v>
      </c>
      <c r="T496" s="116">
        <f t="shared" ca="1" si="207"/>
        <v>87.109350252993039</v>
      </c>
      <c r="V496" s="72">
        <f t="shared" ca="1" si="208"/>
        <v>62378</v>
      </c>
      <c r="W496" s="72">
        <f t="shared" si="209"/>
        <v>3891014884</v>
      </c>
      <c r="Y496" s="110">
        <f t="shared" si="210"/>
        <v>6.1378049415129965</v>
      </c>
      <c r="Z496" s="111">
        <f t="shared" si="211"/>
        <v>-11.885740487797751</v>
      </c>
      <c r="AA496" s="72">
        <f t="shared" si="212"/>
        <v>168.11425951220224</v>
      </c>
      <c r="AB496" s="110">
        <f t="shared" ca="1" si="213"/>
        <v>-18.91335691950151</v>
      </c>
      <c r="AC496" s="111">
        <f t="shared" ca="1" si="214"/>
        <v>-81.004909259209157</v>
      </c>
      <c r="AD496" s="72">
        <f t="shared" ca="1" si="215"/>
        <v>98.995090740790843</v>
      </c>
    </row>
    <row r="497" spans="1:30">
      <c r="A497" s="118">
        <v>62737</v>
      </c>
      <c r="B497" s="101">
        <f t="shared" ca="1" si="189"/>
        <v>3217.2009726902188</v>
      </c>
      <c r="C497" s="102">
        <f t="shared" ca="1" si="190"/>
        <v>1.5704854975913152</v>
      </c>
      <c r="D497" s="102">
        <f t="shared" si="191"/>
        <v>83.376800576798075</v>
      </c>
      <c r="E497" s="103">
        <f t="shared" si="192"/>
        <v>1.5588022952463556</v>
      </c>
      <c r="F497" s="101">
        <f t="shared" si="193"/>
        <v>4730.2584596956713</v>
      </c>
      <c r="G497" s="104">
        <f t="shared" si="194"/>
        <v>1.57058492185456</v>
      </c>
      <c r="H497" s="113">
        <f t="shared" si="195"/>
        <v>5.9967887364200054</v>
      </c>
      <c r="I497" s="114">
        <f t="shared" si="196"/>
        <v>1.4032577313351631</v>
      </c>
      <c r="J497" s="101">
        <f t="shared" si="197"/>
        <v>1.0007766201005932</v>
      </c>
      <c r="K497" s="104">
        <f t="shared" si="198"/>
        <v>3.9398421740188039E-2</v>
      </c>
      <c r="L497" s="102">
        <f t="shared" si="199"/>
        <v>1</v>
      </c>
      <c r="M497" s="103">
        <f t="shared" si="200"/>
        <v>2.0694880298720254E-9</v>
      </c>
      <c r="N497" s="101">
        <f t="shared" si="201"/>
        <v>1</v>
      </c>
      <c r="O497" s="104">
        <f t="shared" si="202"/>
        <v>3.3111808477952399E-10</v>
      </c>
      <c r="P497" s="105">
        <f t="shared" ca="1" si="203"/>
        <v>3.6570963031772967</v>
      </c>
      <c r="Q497" s="106">
        <f t="shared" ca="1" si="204"/>
        <v>1.4042104184549071</v>
      </c>
      <c r="R497" s="107">
        <f t="shared" ca="1" si="205"/>
        <v>-28.741303076485227</v>
      </c>
      <c r="S497" s="108">
        <f t="shared" ca="1" si="206"/>
        <v>-92.969233817692668</v>
      </c>
      <c r="T497" s="116">
        <f t="shared" ca="1" si="207"/>
        <v>87.030766182307332</v>
      </c>
      <c r="V497" s="72">
        <f t="shared" ca="1" si="208"/>
        <v>62737</v>
      </c>
      <c r="W497" s="72">
        <f t="shared" si="209"/>
        <v>3935931169</v>
      </c>
      <c r="Y497" s="110">
        <f t="shared" si="210"/>
        <v>6.1363341959463433</v>
      </c>
      <c r="Z497" s="111">
        <f t="shared" si="211"/>
        <v>-11.84450501366517</v>
      </c>
      <c r="AA497" s="72">
        <f t="shared" si="212"/>
        <v>168.15549498633482</v>
      </c>
      <c r="AB497" s="110">
        <f t="shared" ca="1" si="213"/>
        <v>-18.960036925550067</v>
      </c>
      <c r="AC497" s="111">
        <f t="shared" ca="1" si="214"/>
        <v>-81.124728804027484</v>
      </c>
      <c r="AD497" s="72">
        <f t="shared" ca="1" si="215"/>
        <v>98.875271195972516</v>
      </c>
    </row>
    <row r="498" spans="1:30">
      <c r="A498" s="118">
        <v>63096</v>
      </c>
      <c r="B498" s="101">
        <f t="shared" ca="1" si="189"/>
        <v>3235.6107633707666</v>
      </c>
      <c r="C498" s="102">
        <f t="shared" ca="1" si="190"/>
        <v>1.5704872661293678</v>
      </c>
      <c r="D498" s="102">
        <f t="shared" si="191"/>
        <v>83.853839292397268</v>
      </c>
      <c r="E498" s="103">
        <f t="shared" si="192"/>
        <v>1.5588705317098996</v>
      </c>
      <c r="F498" s="101">
        <f t="shared" si="193"/>
        <v>4757.3264213666516</v>
      </c>
      <c r="G498" s="104">
        <f t="shared" si="194"/>
        <v>1.5705861246942223</v>
      </c>
      <c r="H498" s="113">
        <f t="shared" si="195"/>
        <v>6.0301525788419665</v>
      </c>
      <c r="I498" s="114">
        <f t="shared" si="196"/>
        <v>1.4041933924664507</v>
      </c>
      <c r="J498" s="101">
        <f t="shared" si="197"/>
        <v>1.0007855301406239</v>
      </c>
      <c r="K498" s="104">
        <f t="shared" si="198"/>
        <v>3.9623636138244669E-2</v>
      </c>
      <c r="L498" s="102">
        <f t="shared" si="199"/>
        <v>1</v>
      </c>
      <c r="M498" s="103">
        <f t="shared" si="200"/>
        <v>2.0813302633662001E-9</v>
      </c>
      <c r="N498" s="101">
        <f t="shared" si="201"/>
        <v>1</v>
      </c>
      <c r="O498" s="104">
        <f t="shared" si="202"/>
        <v>3.3301284213859204E-10</v>
      </c>
      <c r="P498" s="105">
        <f t="shared" ca="1" si="203"/>
        <v>3.6767072962220086</v>
      </c>
      <c r="Q498" s="106">
        <f t="shared" ca="1" si="204"/>
        <v>1.4063527919434533</v>
      </c>
      <c r="R498" s="107">
        <f t="shared" ca="1" si="205"/>
        <v>-28.78921125921401</v>
      </c>
      <c r="S498" s="108">
        <f t="shared" ca="1" si="206"/>
        <v>-93.047537762896013</v>
      </c>
      <c r="T498" s="116">
        <f t="shared" ca="1" si="207"/>
        <v>86.952462237103987</v>
      </c>
      <c r="V498" s="72">
        <f t="shared" ca="1" si="208"/>
        <v>63096</v>
      </c>
      <c r="W498" s="72">
        <f t="shared" si="209"/>
        <v>3981105216</v>
      </c>
      <c r="Y498" s="110">
        <f t="shared" si="210"/>
        <v>6.1348862986240214</v>
      </c>
      <c r="Z498" s="111">
        <f t="shared" si="211"/>
        <v>-11.803868331301905</v>
      </c>
      <c r="AA498" s="72">
        <f t="shared" si="212"/>
        <v>168.19613166869809</v>
      </c>
      <c r="AB498" s="110">
        <f t="shared" ca="1" si="213"/>
        <v>-19.006497210956528</v>
      </c>
      <c r="AC498" s="111">
        <f t="shared" ca="1" si="214"/>
        <v>-81.243669431594157</v>
      </c>
      <c r="AD498" s="72">
        <f t="shared" ca="1" si="215"/>
        <v>98.756330568405843</v>
      </c>
    </row>
    <row r="499" spans="1:30">
      <c r="A499" s="118">
        <v>63463.25</v>
      </c>
      <c r="B499" s="101">
        <f t="shared" ca="1" si="189"/>
        <v>3254.4436202820416</v>
      </c>
      <c r="C499" s="102">
        <f t="shared" ca="1" si="190"/>
        <v>1.5704890546057262</v>
      </c>
      <c r="D499" s="102">
        <f t="shared" si="191"/>
        <v>84.34184099624548</v>
      </c>
      <c r="E499" s="103">
        <f t="shared" si="192"/>
        <v>1.5589395375767918</v>
      </c>
      <c r="F499" s="101">
        <f t="shared" si="193"/>
        <v>4785.0164183755514</v>
      </c>
      <c r="G499" s="104">
        <f t="shared" si="194"/>
        <v>1.5705873410945679</v>
      </c>
      <c r="H499" s="113">
        <f t="shared" si="195"/>
        <v>6.0642885408300868</v>
      </c>
      <c r="I499" s="114">
        <f t="shared" si="196"/>
        <v>1.4051399016632369</v>
      </c>
      <c r="J499" s="101">
        <f t="shared" si="197"/>
        <v>1.000794697461449</v>
      </c>
      <c r="K499" s="104">
        <f t="shared" si="198"/>
        <v>3.9854021914645106E-2</v>
      </c>
      <c r="L499" s="102">
        <f t="shared" si="199"/>
        <v>1</v>
      </c>
      <c r="M499" s="103">
        <f t="shared" si="200"/>
        <v>2.0934446373236813E-9</v>
      </c>
      <c r="N499" s="101">
        <f t="shared" si="201"/>
        <v>1</v>
      </c>
      <c r="O499" s="104">
        <f t="shared" si="202"/>
        <v>3.3495114197178902E-10</v>
      </c>
      <c r="P499" s="105">
        <f t="shared" ca="1" si="203"/>
        <v>3.6967819245885551</v>
      </c>
      <c r="Q499" s="106">
        <f t="shared" ca="1" si="204"/>
        <v>1.4085279884829323</v>
      </c>
      <c r="R499" s="107">
        <f t="shared" ca="1" si="205"/>
        <v>-28.837971948444224</v>
      </c>
      <c r="S499" s="108">
        <f t="shared" ca="1" si="206"/>
        <v>-93.127354915947734</v>
      </c>
      <c r="T499" s="116">
        <f t="shared" ca="1" si="207"/>
        <v>86.872645084052266</v>
      </c>
      <c r="V499" s="72">
        <f t="shared" ca="1" si="208"/>
        <v>63463.25</v>
      </c>
      <c r="W499" s="72">
        <f t="shared" si="209"/>
        <v>4027584100.5625</v>
      </c>
      <c r="Y499" s="110">
        <f t="shared" si="210"/>
        <v>6.1334282343781386</v>
      </c>
      <c r="Z499" s="111">
        <f t="shared" si="211"/>
        <v>-11.762907175679469</v>
      </c>
      <c r="AA499" s="72">
        <f t="shared" si="212"/>
        <v>168.23709282432054</v>
      </c>
      <c r="AB499" s="110">
        <f t="shared" ca="1" si="213"/>
        <v>-19.053799835940858</v>
      </c>
      <c r="AC499" s="111">
        <f t="shared" ca="1" si="214"/>
        <v>-81.364447740268304</v>
      </c>
      <c r="AD499" s="72">
        <f t="shared" ca="1" si="215"/>
        <v>98.635552259731696</v>
      </c>
    </row>
    <row r="500" spans="1:30">
      <c r="A500" s="118">
        <v>63830.5</v>
      </c>
      <c r="B500" s="101">
        <f t="shared" ca="1" si="189"/>
        <v>3273.2764772036062</v>
      </c>
      <c r="C500" s="102">
        <f t="shared" ca="1" si="190"/>
        <v>1.5704908225020207</v>
      </c>
      <c r="D500" s="102">
        <f t="shared" si="191"/>
        <v>84.829843097092663</v>
      </c>
      <c r="E500" s="103">
        <f t="shared" si="192"/>
        <v>1.5590077495015253</v>
      </c>
      <c r="F500" s="101">
        <f t="shared" si="193"/>
        <v>4812.7064153914498</v>
      </c>
      <c r="G500" s="104">
        <f t="shared" si="194"/>
        <v>1.5705885434977485</v>
      </c>
      <c r="H500" s="113">
        <f t="shared" si="195"/>
        <v>6.0984298748671284</v>
      </c>
      <c r="I500" s="114">
        <f t="shared" si="196"/>
        <v>1.4060758138524454</v>
      </c>
      <c r="J500" s="101">
        <f t="shared" si="197"/>
        <v>1.0008039179010857</v>
      </c>
      <c r="K500" s="104">
        <f t="shared" si="198"/>
        <v>4.0084403458169875E-2</v>
      </c>
      <c r="L500" s="102">
        <f t="shared" si="199"/>
        <v>1</v>
      </c>
      <c r="M500" s="103">
        <f t="shared" si="200"/>
        <v>2.1055590112811628E-9</v>
      </c>
      <c r="N500" s="101">
        <f t="shared" si="201"/>
        <v>1</v>
      </c>
      <c r="O500" s="104">
        <f t="shared" si="202"/>
        <v>3.3688944180498601E-10</v>
      </c>
      <c r="P500" s="105">
        <f t="shared" ca="1" si="203"/>
        <v>3.716869554676415</v>
      </c>
      <c r="Q500" s="106">
        <f t="shared" ca="1" si="204"/>
        <v>1.4106868431194997</v>
      </c>
      <c r="R500" s="107">
        <f t="shared" ca="1" si="205"/>
        <v>-28.886483925717474</v>
      </c>
      <c r="S500" s="108">
        <f t="shared" ca="1" si="206"/>
        <v>-93.206886176622476</v>
      </c>
      <c r="T500" s="116">
        <f t="shared" ca="1" si="207"/>
        <v>86.793113823377524</v>
      </c>
      <c r="V500" s="72">
        <f t="shared" ca="1" si="208"/>
        <v>63830.5</v>
      </c>
      <c r="W500" s="72">
        <f t="shared" si="209"/>
        <v>4074332730.25</v>
      </c>
      <c r="Y500" s="110">
        <f t="shared" si="210"/>
        <v>6.1319930085680525</v>
      </c>
      <c r="Z500" s="111">
        <f t="shared" si="211"/>
        <v>-11.722552139362996</v>
      </c>
      <c r="AA500" s="72">
        <f t="shared" si="212"/>
        <v>168.27744786063701</v>
      </c>
      <c r="AB500" s="110">
        <f t="shared" ca="1" si="213"/>
        <v>-19.10087658740402</v>
      </c>
      <c r="AC500" s="111">
        <f t="shared" ca="1" si="214"/>
        <v>-81.48433403725943</v>
      </c>
      <c r="AD500" s="72">
        <f t="shared" ca="1" si="215"/>
        <v>98.51566596274057</v>
      </c>
    </row>
    <row r="501" spans="1:30">
      <c r="A501" s="118">
        <v>64197.75</v>
      </c>
      <c r="B501" s="101">
        <f t="shared" ca="1" si="189"/>
        <v>3292.1093341352844</v>
      </c>
      <c r="C501" s="102">
        <f t="shared" ca="1" si="190"/>
        <v>1.5704925701714427</v>
      </c>
      <c r="D501" s="102">
        <f t="shared" si="191"/>
        <v>85.317845588126559</v>
      </c>
      <c r="E501" s="103">
        <f t="shared" si="192"/>
        <v>1.5590751811070724</v>
      </c>
      <c r="F501" s="101">
        <f t="shared" si="193"/>
        <v>4840.3964124142267</v>
      </c>
      <c r="G501" s="104">
        <f t="shared" si="194"/>
        <v>1.5705897321439815</v>
      </c>
      <c r="H501" s="113">
        <f t="shared" si="195"/>
        <v>6.1325764912311369</v>
      </c>
      <c r="I501" s="114">
        <f t="shared" si="196"/>
        <v>1.4070013043952876</v>
      </c>
      <c r="J501" s="101">
        <f t="shared" si="197"/>
        <v>1.0008131914580662</v>
      </c>
      <c r="K501" s="104">
        <f t="shared" si="198"/>
        <v>4.031478074448102E-2</v>
      </c>
      <c r="L501" s="102">
        <f t="shared" si="199"/>
        <v>1</v>
      </c>
      <c r="M501" s="103">
        <f t="shared" si="200"/>
        <v>2.117673385238644E-9</v>
      </c>
      <c r="N501" s="101">
        <f t="shared" si="201"/>
        <v>1</v>
      </c>
      <c r="O501" s="104">
        <f t="shared" si="202"/>
        <v>3.3882774163818304E-10</v>
      </c>
      <c r="P501" s="105">
        <f t="shared" ca="1" si="203"/>
        <v>3.7369700780515265</v>
      </c>
      <c r="Q501" s="106">
        <f t="shared" ca="1" si="204"/>
        <v>1.4128296069263722</v>
      </c>
      <c r="R501" s="107">
        <f t="shared" ca="1" si="205"/>
        <v>-28.934749730917638</v>
      </c>
      <c r="S501" s="108">
        <f t="shared" ca="1" si="206"/>
        <v>-93.286135134964965</v>
      </c>
      <c r="T501" s="116">
        <f t="shared" ca="1" si="207"/>
        <v>86.713864865035035</v>
      </c>
      <c r="V501" s="72">
        <f t="shared" ca="1" si="208"/>
        <v>64197.75</v>
      </c>
      <c r="W501" s="72">
        <f t="shared" si="209"/>
        <v>4121351105.0625</v>
      </c>
      <c r="Y501" s="110">
        <f t="shared" si="210"/>
        <v>6.1305801014176184</v>
      </c>
      <c r="Z501" s="111">
        <f t="shared" si="211"/>
        <v>-11.682793187264187</v>
      </c>
      <c r="AA501" s="72">
        <f t="shared" si="212"/>
        <v>168.3172068127358</v>
      </c>
      <c r="AB501" s="110">
        <f t="shared" ca="1" si="213"/>
        <v>-19.147729485453752</v>
      </c>
      <c r="AC501" s="111">
        <f t="shared" ca="1" si="214"/>
        <v>-81.603341947700827</v>
      </c>
      <c r="AD501" s="72">
        <f t="shared" ca="1" si="215"/>
        <v>98.396658052299173</v>
      </c>
    </row>
    <row r="502" spans="1:30">
      <c r="A502" s="118">
        <v>64565</v>
      </c>
      <c r="B502" s="101">
        <f t="shared" ca="1" si="189"/>
        <v>3310.9421910769038</v>
      </c>
      <c r="C502" s="102">
        <f t="shared" ca="1" si="190"/>
        <v>1.5704942979591474</v>
      </c>
      <c r="D502" s="102">
        <f t="shared" si="191"/>
        <v>85.805848462689852</v>
      </c>
      <c r="E502" s="103">
        <f t="shared" si="192"/>
        <v>1.5591418457065225</v>
      </c>
      <c r="F502" s="101">
        <f t="shared" si="193"/>
        <v>4868.0864094437648</v>
      </c>
      <c r="G502" s="104">
        <f t="shared" si="194"/>
        <v>1.5705909072680178</v>
      </c>
      <c r="H502" s="113">
        <f t="shared" si="195"/>
        <v>6.1667283021736745</v>
      </c>
      <c r="I502" s="114">
        <f t="shared" si="196"/>
        <v>1.4079165448406368</v>
      </c>
      <c r="J502" s="101">
        <f t="shared" si="197"/>
        <v>1.0008225181309138</v>
      </c>
      <c r="K502" s="104">
        <f t="shared" si="198"/>
        <v>4.0545153749243265E-2</v>
      </c>
      <c r="L502" s="102">
        <f t="shared" si="199"/>
        <v>1</v>
      </c>
      <c r="M502" s="103">
        <f t="shared" si="200"/>
        <v>2.1297877591961251E-9</v>
      </c>
      <c r="N502" s="101">
        <f t="shared" si="201"/>
        <v>1</v>
      </c>
      <c r="O502" s="104">
        <f t="shared" si="202"/>
        <v>3.4076604147138002E-10</v>
      </c>
      <c r="P502" s="105">
        <f t="shared" ca="1" si="203"/>
        <v>3.7570833890478448</v>
      </c>
      <c r="Q502" s="106">
        <f t="shared" ca="1" si="204"/>
        <v>1.4149565259529582</v>
      </c>
      <c r="R502" s="107">
        <f t="shared" ca="1" si="205"/>
        <v>-28.98277186710942</v>
      </c>
      <c r="S502" s="108">
        <f t="shared" ca="1" si="206"/>
        <v>-93.365105328589706</v>
      </c>
      <c r="T502" s="116">
        <f t="shared" ca="1" si="207"/>
        <v>86.634894671410294</v>
      </c>
      <c r="V502" s="72">
        <f t="shared" ca="1" si="208"/>
        <v>64565</v>
      </c>
      <c r="W502" s="72">
        <f t="shared" si="209"/>
        <v>4168639225</v>
      </c>
      <c r="Y502" s="110">
        <f t="shared" si="210"/>
        <v>6.1291890075036211</v>
      </c>
      <c r="Z502" s="111">
        <f t="shared" si="211"/>
        <v>-11.643620502412512</v>
      </c>
      <c r="AA502" s="72">
        <f t="shared" si="212"/>
        <v>168.35637949758748</v>
      </c>
      <c r="AB502" s="110">
        <f t="shared" ca="1" si="213"/>
        <v>-19.19436052773154</v>
      </c>
      <c r="AC502" s="111">
        <f t="shared" ca="1" si="214"/>
        <v>-81.721484826177246</v>
      </c>
      <c r="AD502" s="72">
        <f t="shared" ca="1" si="215"/>
        <v>98.278515173822754</v>
      </c>
    </row>
    <row r="503" spans="1:30">
      <c r="A503" s="118">
        <v>64941</v>
      </c>
      <c r="B503" s="101">
        <f t="shared" ca="1" si="189"/>
        <v>3330.2237546269826</v>
      </c>
      <c r="C503" s="102">
        <f t="shared" ca="1" si="190"/>
        <v>1.5704960466669806</v>
      </c>
      <c r="D503" s="102">
        <f t="shared" si="191"/>
        <v>86.305478753406717</v>
      </c>
      <c r="E503" s="103">
        <f t="shared" si="192"/>
        <v>1.5592093175892412</v>
      </c>
      <c r="F503" s="101">
        <f t="shared" si="193"/>
        <v>4896.4361409226885</v>
      </c>
      <c r="G503" s="104">
        <f t="shared" si="194"/>
        <v>1.5705920966205063</v>
      </c>
      <c r="H503" s="113">
        <f t="shared" si="195"/>
        <v>6.2016990970889712</v>
      </c>
      <c r="I503" s="114">
        <f t="shared" si="196"/>
        <v>1.4088431474713849</v>
      </c>
      <c r="J503" s="101">
        <f t="shared" si="197"/>
        <v>1.0008321220462464</v>
      </c>
      <c r="K503" s="104">
        <f t="shared" si="198"/>
        <v>4.0781011098238756E-2</v>
      </c>
      <c r="L503" s="102">
        <f t="shared" si="199"/>
        <v>1</v>
      </c>
      <c r="M503" s="103">
        <f t="shared" si="200"/>
        <v>2.1421907669783253E-9</v>
      </c>
      <c r="N503" s="101">
        <f t="shared" si="201"/>
        <v>1</v>
      </c>
      <c r="O503" s="104">
        <f t="shared" si="202"/>
        <v>3.4275052271653203E-10</v>
      </c>
      <c r="P503" s="105">
        <f t="shared" ca="1" si="203"/>
        <v>3.7776890551517557</v>
      </c>
      <c r="Q503" s="106">
        <f t="shared" ca="1" si="204"/>
        <v>1.417117956621468</v>
      </c>
      <c r="R503" s="107">
        <f t="shared" ca="1" si="205"/>
        <v>-29.031688295157071</v>
      </c>
      <c r="S503" s="108">
        <f t="shared" ca="1" si="206"/>
        <v>-93.445671878078386</v>
      </c>
      <c r="T503" s="116">
        <f t="shared" ca="1" si="207"/>
        <v>86.554328121921614</v>
      </c>
      <c r="V503" s="72">
        <f t="shared" ca="1" si="208"/>
        <v>64941</v>
      </c>
      <c r="W503" s="72">
        <f t="shared" si="209"/>
        <v>4217333481</v>
      </c>
      <c r="Y503" s="110">
        <f t="shared" si="210"/>
        <v>6.1277868555533086</v>
      </c>
      <c r="Z503" s="111">
        <f t="shared" si="211"/>
        <v>-11.604111857285359</v>
      </c>
      <c r="AA503" s="72">
        <f t="shared" si="212"/>
        <v>168.39588814271465</v>
      </c>
      <c r="AB503" s="110">
        <f t="shared" ca="1" si="213"/>
        <v>-19.241874803828878</v>
      </c>
      <c r="AC503" s="111">
        <f t="shared" ca="1" si="214"/>
        <v>-81.84156002079304</v>
      </c>
      <c r="AD503" s="72">
        <f t="shared" ca="1" si="215"/>
        <v>98.15843997920696</v>
      </c>
    </row>
    <row r="504" spans="1:30">
      <c r="A504" s="118">
        <v>65317</v>
      </c>
      <c r="B504" s="101">
        <f t="shared" ca="1" si="189"/>
        <v>3349.5053181871281</v>
      </c>
      <c r="C504" s="102">
        <f t="shared" ca="1" si="190"/>
        <v>1.5704977752417983</v>
      </c>
      <c r="D504" s="102">
        <f t="shared" si="191"/>
        <v>86.805109432502505</v>
      </c>
      <c r="E504" s="103">
        <f t="shared" si="192"/>
        <v>1.5592760127663086</v>
      </c>
      <c r="F504" s="101">
        <f t="shared" si="193"/>
        <v>4924.7858724084581</v>
      </c>
      <c r="G504" s="104">
        <f t="shared" si="194"/>
        <v>1.5705932722798821</v>
      </c>
      <c r="H504" s="113">
        <f t="shared" si="195"/>
        <v>6.2366751570190049</v>
      </c>
      <c r="I504" s="114">
        <f t="shared" si="196"/>
        <v>1.4097593578728898</v>
      </c>
      <c r="J504" s="101">
        <f t="shared" si="197"/>
        <v>1.0008417816354873</v>
      </c>
      <c r="K504" s="104">
        <f t="shared" si="198"/>
        <v>4.1016863907616413E-2</v>
      </c>
      <c r="L504" s="102">
        <f t="shared" si="199"/>
        <v>1</v>
      </c>
      <c r="M504" s="103">
        <f t="shared" si="200"/>
        <v>2.1545937747605251E-9</v>
      </c>
      <c r="N504" s="101">
        <f t="shared" si="201"/>
        <v>1</v>
      </c>
      <c r="O504" s="104">
        <f t="shared" si="202"/>
        <v>3.4473500396168404E-10</v>
      </c>
      <c r="P504" s="105">
        <f t="shared" ca="1" si="203"/>
        <v>3.7983079099133215</v>
      </c>
      <c r="Q504" s="106">
        <f t="shared" ca="1" si="204"/>
        <v>1.419263284844033</v>
      </c>
      <c r="R504" s="107">
        <f t="shared" ca="1" si="205"/>
        <v>-29.080354499433696</v>
      </c>
      <c r="S504" s="108">
        <f t="shared" ca="1" si="206"/>
        <v>-93.525953560010066</v>
      </c>
      <c r="T504" s="116">
        <f t="shared" ca="1" si="207"/>
        <v>86.474046439989934</v>
      </c>
      <c r="V504" s="72">
        <f t="shared" ca="1" si="208"/>
        <v>65317</v>
      </c>
      <c r="W504" s="72">
        <f t="shared" si="209"/>
        <v>4266310489</v>
      </c>
      <c r="Y504" s="110">
        <f t="shared" si="210"/>
        <v>6.1264065405273094</v>
      </c>
      <c r="Z504" s="111">
        <f t="shared" si="211"/>
        <v>-11.565197598375773</v>
      </c>
      <c r="AA504" s="72">
        <f t="shared" si="212"/>
        <v>168.43480240162424</v>
      </c>
      <c r="AB504" s="110">
        <f t="shared" ca="1" si="213"/>
        <v>-19.289160693079499</v>
      </c>
      <c r="AC504" s="111">
        <f t="shared" ca="1" si="214"/>
        <v>-81.960755961634305</v>
      </c>
      <c r="AD504" s="72">
        <f t="shared" ca="1" si="215"/>
        <v>98.039244038365695</v>
      </c>
    </row>
    <row r="505" spans="1:30">
      <c r="A505" s="118">
        <v>65693</v>
      </c>
      <c r="B505" s="101">
        <f t="shared" ca="1" si="189"/>
        <v>3368.7868817571666</v>
      </c>
      <c r="C505" s="102">
        <f t="shared" ca="1" si="190"/>
        <v>1.5704994840293001</v>
      </c>
      <c r="D505" s="102">
        <f t="shared" si="191"/>
        <v>87.304740493309282</v>
      </c>
      <c r="E505" s="103">
        <f t="shared" si="192"/>
        <v>1.5593419445720125</v>
      </c>
      <c r="F505" s="101">
        <f t="shared" si="193"/>
        <v>4953.1356039009588</v>
      </c>
      <c r="G505" s="104">
        <f t="shared" si="194"/>
        <v>1.5705944344812668</v>
      </c>
      <c r="H505" s="113">
        <f t="shared" si="195"/>
        <v>6.2716563938772509</v>
      </c>
      <c r="I505" s="114">
        <f t="shared" si="196"/>
        <v>1.4106653483872402</v>
      </c>
      <c r="J505" s="101">
        <f t="shared" si="197"/>
        <v>1.0008514968970252</v>
      </c>
      <c r="K505" s="104">
        <f t="shared" si="198"/>
        <v>4.125271215126871E-2</v>
      </c>
      <c r="L505" s="102">
        <f t="shared" si="199"/>
        <v>1</v>
      </c>
      <c r="M505" s="103">
        <f t="shared" si="200"/>
        <v>2.1669967825427253E-9</v>
      </c>
      <c r="N505" s="101">
        <f t="shared" si="201"/>
        <v>1</v>
      </c>
      <c r="O505" s="104">
        <f t="shared" si="202"/>
        <v>3.4671948520683599E-10</v>
      </c>
      <c r="P505" s="105">
        <f t="shared" ca="1" si="203"/>
        <v>3.8189398484985708</v>
      </c>
      <c r="Q505" s="106">
        <f t="shared" ca="1" si="204"/>
        <v>1.4213927590928348</v>
      </c>
      <c r="R505" s="107">
        <f t="shared" ca="1" si="205"/>
        <v>-29.128773050727936</v>
      </c>
      <c r="S505" s="108">
        <f t="shared" ca="1" si="206"/>
        <v>-93.605954004102074</v>
      </c>
      <c r="T505" s="116">
        <f t="shared" ca="1" si="207"/>
        <v>86.394045995897926</v>
      </c>
      <c r="V505" s="72">
        <f t="shared" ca="1" si="208"/>
        <v>65693</v>
      </c>
      <c r="W505" s="72">
        <f t="shared" si="209"/>
        <v>4315570249</v>
      </c>
      <c r="Y505" s="110">
        <f t="shared" si="210"/>
        <v>6.1250475637497264</v>
      </c>
      <c r="Z505" s="111">
        <f t="shared" si="211"/>
        <v>-11.526867863185011</v>
      </c>
      <c r="AA505" s="72">
        <f t="shared" si="212"/>
        <v>168.473132136815</v>
      </c>
      <c r="AB505" s="110">
        <f t="shared" ca="1" si="213"/>
        <v>-19.336220267596161</v>
      </c>
      <c r="AC505" s="111">
        <f t="shared" ca="1" si="214"/>
        <v>-82.079086140917084</v>
      </c>
      <c r="AD505" s="72">
        <f t="shared" ca="1" si="215"/>
        <v>97.920913859082916</v>
      </c>
    </row>
    <row r="506" spans="1:30">
      <c r="A506" s="118">
        <v>66069</v>
      </c>
      <c r="B506" s="101">
        <f t="shared" ca="1" si="189"/>
        <v>3388.0684453369304</v>
      </c>
      <c r="C506" s="102">
        <f t="shared" ca="1" si="190"/>
        <v>1.570501173367316</v>
      </c>
      <c r="D506" s="102">
        <f t="shared" si="191"/>
        <v>87.80437192931096</v>
      </c>
      <c r="E506" s="103">
        <f t="shared" si="192"/>
        <v>1.5594071260371647</v>
      </c>
      <c r="F506" s="101">
        <f t="shared" si="193"/>
        <v>4981.4853354000716</v>
      </c>
      <c r="G506" s="104">
        <f t="shared" si="194"/>
        <v>1.5705955834544294</v>
      </c>
      <c r="H506" s="113">
        <f t="shared" si="195"/>
        <v>6.3066427215186618</v>
      </c>
      <c r="I506" s="114">
        <f t="shared" si="196"/>
        <v>1.4115612876001924</v>
      </c>
      <c r="J506" s="101">
        <f t="shared" si="197"/>
        <v>1.0008612678292383</v>
      </c>
      <c r="K506" s="104">
        <f t="shared" si="198"/>
        <v>4.1488555803091132E-2</v>
      </c>
      <c r="L506" s="102">
        <f t="shared" si="199"/>
        <v>1</v>
      </c>
      <c r="M506" s="103">
        <f t="shared" si="200"/>
        <v>2.1793997903249251E-9</v>
      </c>
      <c r="N506" s="101">
        <f t="shared" si="201"/>
        <v>1</v>
      </c>
      <c r="O506" s="104">
        <f t="shared" si="202"/>
        <v>3.48703966451988E-10</v>
      </c>
      <c r="P506" s="105">
        <f t="shared" ca="1" si="203"/>
        <v>3.8395847688170193</v>
      </c>
      <c r="Q506" s="106">
        <f t="shared" ca="1" si="204"/>
        <v>1.4235066228355486</v>
      </c>
      <c r="R506" s="107">
        <f t="shared" ca="1" si="205"/>
        <v>-29.176946482335229</v>
      </c>
      <c r="S506" s="108">
        <f t="shared" ca="1" si="206"/>
        <v>-93.685676785187198</v>
      </c>
      <c r="T506" s="116">
        <f t="shared" ca="1" si="207"/>
        <v>86.314323214812802</v>
      </c>
      <c r="V506" s="72">
        <f t="shared" ca="1" si="208"/>
        <v>66069</v>
      </c>
      <c r="W506" s="72">
        <f t="shared" si="209"/>
        <v>4365112761</v>
      </c>
      <c r="Y506" s="110">
        <f t="shared" si="210"/>
        <v>6.1237094403384518</v>
      </c>
      <c r="Z506" s="111">
        <f t="shared" si="211"/>
        <v>-11.489113004129864</v>
      </c>
      <c r="AA506" s="72">
        <f t="shared" si="212"/>
        <v>168.51088699587012</v>
      </c>
      <c r="AB506" s="110">
        <f t="shared" ca="1" si="213"/>
        <v>-19.383055575792177</v>
      </c>
      <c r="AC506" s="111">
        <f t="shared" ca="1" si="214"/>
        <v>-82.196563781057336</v>
      </c>
      <c r="AD506" s="72">
        <f t="shared" ca="1" si="215"/>
        <v>97.803436218942664</v>
      </c>
    </row>
    <row r="507" spans="1:30">
      <c r="A507" s="118">
        <v>66453.75</v>
      </c>
      <c r="B507" s="101">
        <f t="shared" ca="1" si="189"/>
        <v>3407.7987155258515</v>
      </c>
      <c r="C507" s="102">
        <f t="shared" ca="1" si="190"/>
        <v>1.5705028822291141</v>
      </c>
      <c r="D507" s="102">
        <f t="shared" si="191"/>
        <v>88.315630808406169</v>
      </c>
      <c r="E507" s="103">
        <f t="shared" si="192"/>
        <v>1.5594730609068812</v>
      </c>
      <c r="F507" s="101">
        <f t="shared" si="193"/>
        <v>5010.4948013490457</v>
      </c>
      <c r="G507" s="104">
        <f t="shared" si="194"/>
        <v>1.5705967457063443</v>
      </c>
      <c r="H507" s="113">
        <f t="shared" si="195"/>
        <v>6.3424484076471064</v>
      </c>
      <c r="I507" s="114">
        <f t="shared" si="196"/>
        <v>1.4124678436142382</v>
      </c>
      <c r="J507" s="101">
        <f t="shared" si="197"/>
        <v>1.000871323770858</v>
      </c>
      <c r="K507" s="104">
        <f t="shared" si="198"/>
        <v>4.1729883057179437E-2</v>
      </c>
      <c r="L507" s="102">
        <f t="shared" si="199"/>
        <v>1</v>
      </c>
      <c r="M507" s="103">
        <f t="shared" si="200"/>
        <v>2.1920914319318439E-9</v>
      </c>
      <c r="N507" s="101">
        <f t="shared" si="201"/>
        <v>1</v>
      </c>
      <c r="O507" s="104">
        <f t="shared" si="202"/>
        <v>3.5073462910909503E-10</v>
      </c>
      <c r="P507" s="105">
        <f t="shared" ca="1" si="203"/>
        <v>3.8607234574905562</v>
      </c>
      <c r="Q507" s="106">
        <f t="shared" ca="1" si="204"/>
        <v>1.4256537681026715</v>
      </c>
      <c r="R507" s="107">
        <f t="shared" ca="1" si="205"/>
        <v>-29.225989832919307</v>
      </c>
      <c r="S507" s="108">
        <f t="shared" ca="1" si="206"/>
        <v>-93.766971059061362</v>
      </c>
      <c r="T507" s="116">
        <f t="shared" ca="1" si="207"/>
        <v>86.233028940938638</v>
      </c>
      <c r="V507" s="72">
        <f t="shared" ca="1" si="208"/>
        <v>66453.75</v>
      </c>
      <c r="W507" s="72">
        <f t="shared" si="209"/>
        <v>4416100889.0625</v>
      </c>
      <c r="Y507" s="110">
        <f t="shared" si="210"/>
        <v>6.1223612721895577</v>
      </c>
      <c r="Z507" s="111">
        <f t="shared" si="211"/>
        <v>-11.451064795248737</v>
      </c>
      <c r="AA507" s="72">
        <f t="shared" si="212"/>
        <v>168.54893520475127</v>
      </c>
      <c r="AB507" s="110">
        <f t="shared" ca="1" si="213"/>
        <v>-19.430750758227362</v>
      </c>
      <c r="AC507" s="111">
        <f t="shared" ca="1" si="214"/>
        <v>-82.31590626381265</v>
      </c>
      <c r="AD507" s="72">
        <f t="shared" ca="1" si="215"/>
        <v>97.68409373618735</v>
      </c>
    </row>
    <row r="508" spans="1:30">
      <c r="A508" s="118">
        <v>66838.5</v>
      </c>
      <c r="B508" s="101">
        <f t="shared" ca="1" si="189"/>
        <v>3427.5289857246103</v>
      </c>
      <c r="C508" s="102">
        <f t="shared" ca="1" si="190"/>
        <v>1.570504571417086</v>
      </c>
      <c r="D508" s="102">
        <f t="shared" si="191"/>
        <v>88.826890067025687</v>
      </c>
      <c r="E508" s="103">
        <f t="shared" si="192"/>
        <v>1.5595382367767021</v>
      </c>
      <c r="F508" s="101">
        <f t="shared" si="193"/>
        <v>5039.5042673047092</v>
      </c>
      <c r="G508" s="104">
        <f t="shared" si="194"/>
        <v>1.5705978945774561</v>
      </c>
      <c r="H508" s="113">
        <f t="shared" si="195"/>
        <v>6.3782592477520828</v>
      </c>
      <c r="I508" s="114">
        <f t="shared" si="196"/>
        <v>1.4133642206111685</v>
      </c>
      <c r="J508" s="101">
        <f t="shared" si="197"/>
        <v>1.0008814380008928</v>
      </c>
      <c r="K508" s="104">
        <f t="shared" si="198"/>
        <v>4.1971205447942229E-2</v>
      </c>
      <c r="L508" s="102">
        <f t="shared" si="199"/>
        <v>1</v>
      </c>
      <c r="M508" s="103">
        <f t="shared" si="200"/>
        <v>2.2047830735387628E-9</v>
      </c>
      <c r="N508" s="101">
        <f t="shared" si="201"/>
        <v>1</v>
      </c>
      <c r="O508" s="104">
        <f t="shared" si="202"/>
        <v>3.5276529176620201E-10</v>
      </c>
      <c r="P508" s="105">
        <f t="shared" ca="1" si="203"/>
        <v>3.8818755313468327</v>
      </c>
      <c r="Q508" s="106">
        <f t="shared" ca="1" si="204"/>
        <v>1.4277850681237882</v>
      </c>
      <c r="R508" s="107">
        <f t="shared" ca="1" si="205"/>
        <v>-29.274781772250034</v>
      </c>
      <c r="S508" s="108">
        <f t="shared" ca="1" si="206"/>
        <v>-93.847981996885892</v>
      </c>
      <c r="T508" s="116">
        <f t="shared" ca="1" si="207"/>
        <v>86.152018003114108</v>
      </c>
      <c r="V508" s="72">
        <f t="shared" ca="1" si="208"/>
        <v>66838.5</v>
      </c>
      <c r="W508" s="72">
        <f t="shared" si="209"/>
        <v>4467385082.25</v>
      </c>
      <c r="Y508" s="110">
        <f t="shared" si="210"/>
        <v>6.1210339543259549</v>
      </c>
      <c r="Z508" s="111">
        <f t="shared" si="211"/>
        <v>-11.413598755777006</v>
      </c>
      <c r="AA508" s="72">
        <f t="shared" si="212"/>
        <v>168.586401244223</v>
      </c>
      <c r="AB508" s="110">
        <f t="shared" ca="1" si="213"/>
        <v>-19.478215379694486</v>
      </c>
      <c r="AC508" s="111">
        <f t="shared" ca="1" si="214"/>
        <v>-82.434383241108918</v>
      </c>
      <c r="AD508" s="72">
        <f t="shared" ca="1" si="215"/>
        <v>97.565616758891082</v>
      </c>
    </row>
    <row r="509" spans="1:30">
      <c r="A509" s="118">
        <v>67223.25</v>
      </c>
      <c r="B509" s="101">
        <f t="shared" ca="1" si="189"/>
        <v>3447.259255933036</v>
      </c>
      <c r="C509" s="102">
        <f t="shared" ca="1" si="190"/>
        <v>1.5705062412690389</v>
      </c>
      <c r="D509" s="102">
        <f t="shared" si="191"/>
        <v>89.338149698653709</v>
      </c>
      <c r="E509" s="103">
        <f t="shared" si="192"/>
        <v>1.5596026666767622</v>
      </c>
      <c r="F509" s="101">
        <f t="shared" si="193"/>
        <v>5068.5137332669501</v>
      </c>
      <c r="G509" s="104">
        <f t="shared" si="194"/>
        <v>1.5705990302975184</v>
      </c>
      <c r="H509" s="113">
        <f t="shared" si="195"/>
        <v>6.414075155507085</v>
      </c>
      <c r="I509" s="114">
        <f t="shared" si="196"/>
        <v>1.4142505876558455</v>
      </c>
      <c r="J509" s="101">
        <f t="shared" si="197"/>
        <v>1.0008916105175756</v>
      </c>
      <c r="K509" s="104">
        <f t="shared" si="198"/>
        <v>4.2212522947419832E-2</v>
      </c>
      <c r="L509" s="102">
        <f t="shared" si="199"/>
        <v>1</v>
      </c>
      <c r="M509" s="103">
        <f t="shared" si="200"/>
        <v>2.2174747151456816E-9</v>
      </c>
      <c r="N509" s="101">
        <f t="shared" si="201"/>
        <v>1</v>
      </c>
      <c r="O509" s="104">
        <f t="shared" si="202"/>
        <v>3.5479595442330904E-10</v>
      </c>
      <c r="P509" s="105">
        <f t="shared" ca="1" si="203"/>
        <v>3.903040889472408</v>
      </c>
      <c r="Q509" s="106">
        <f t="shared" ca="1" si="204"/>
        <v>1.4299007682714482</v>
      </c>
      <c r="R509" s="107">
        <f t="shared" ca="1" si="205"/>
        <v>-29.323324897275349</v>
      </c>
      <c r="S509" s="108">
        <f t="shared" ca="1" si="206"/>
        <v>-93.928713255114417</v>
      </c>
      <c r="T509" s="116">
        <f t="shared" ca="1" si="207"/>
        <v>86.071286744885583</v>
      </c>
      <c r="V509" s="72">
        <f t="shared" ca="1" si="208"/>
        <v>67223.25</v>
      </c>
      <c r="W509" s="72">
        <f t="shared" si="209"/>
        <v>4518965340.5625</v>
      </c>
      <c r="Y509" s="110">
        <f t="shared" si="210"/>
        <v>6.1197270091728262</v>
      </c>
      <c r="Z509" s="111">
        <f t="shared" si="211"/>
        <v>-11.376705210573526</v>
      </c>
      <c r="AA509" s="72">
        <f t="shared" si="212"/>
        <v>168.62329478942647</v>
      </c>
      <c r="AB509" s="110">
        <f t="shared" ca="1" si="213"/>
        <v>-19.525451559566672</v>
      </c>
      <c r="AC509" s="111">
        <f t="shared" ca="1" si="214"/>
        <v>-82.552008044540869</v>
      </c>
      <c r="AD509" s="72">
        <f t="shared" ca="1" si="215"/>
        <v>97.447991955459131</v>
      </c>
    </row>
    <row r="510" spans="1:30">
      <c r="A510" s="118">
        <v>67608</v>
      </c>
      <c r="B510" s="101">
        <f t="shared" ca="1" si="189"/>
        <v>3466.9895261509655</v>
      </c>
      <c r="C510" s="102">
        <f t="shared" ca="1" si="190"/>
        <v>1.5705078921150908</v>
      </c>
      <c r="D510" s="102">
        <f t="shared" si="191"/>
        <v>89.849409696922791</v>
      </c>
      <c r="E510" s="103">
        <f t="shared" si="192"/>
        <v>1.5596663633406453</v>
      </c>
      <c r="F510" s="101">
        <f t="shared" si="193"/>
        <v>5097.5231992356539</v>
      </c>
      <c r="G510" s="104">
        <f t="shared" si="194"/>
        <v>1.5706001530910547</v>
      </c>
      <c r="H510" s="113">
        <f t="shared" si="195"/>
        <v>6.4498960464909922</v>
      </c>
      <c r="I510" s="114">
        <f t="shared" si="196"/>
        <v>1.4151271101210932</v>
      </c>
      <c r="J510" s="101">
        <f t="shared" si="197"/>
        <v>1.0009018413191295</v>
      </c>
      <c r="K510" s="104">
        <f t="shared" si="198"/>
        <v>4.2453835527655977E-2</v>
      </c>
      <c r="L510" s="102">
        <f t="shared" si="199"/>
        <v>1</v>
      </c>
      <c r="M510" s="103">
        <f t="shared" si="200"/>
        <v>2.2301663567526E-9</v>
      </c>
      <c r="N510" s="101">
        <f t="shared" si="201"/>
        <v>1</v>
      </c>
      <c r="O510" s="104">
        <f t="shared" si="202"/>
        <v>3.5682661708041602E-10</v>
      </c>
      <c r="P510" s="105">
        <f t="shared" ca="1" si="203"/>
        <v>3.9242194336654652</v>
      </c>
      <c r="Q510" s="106">
        <f t="shared" ca="1" si="204"/>
        <v>1.4320011089475302</v>
      </c>
      <c r="R510" s="107">
        <f t="shared" ca="1" si="205"/>
        <v>-29.371621766860294</v>
      </c>
      <c r="S510" s="108">
        <f t="shared" ca="1" si="206"/>
        <v>-94.009168433191221</v>
      </c>
      <c r="T510" s="116">
        <f t="shared" ca="1" si="207"/>
        <v>85.990831566808779</v>
      </c>
      <c r="V510" s="72">
        <f t="shared" ca="1" si="208"/>
        <v>67608</v>
      </c>
      <c r="W510" s="72">
        <f t="shared" si="209"/>
        <v>4570841664</v>
      </c>
      <c r="Y510" s="110">
        <f t="shared" si="210"/>
        <v>6.1184399723801919</v>
      </c>
      <c r="Z510" s="111">
        <f t="shared" si="211"/>
        <v>-11.340374695735939</v>
      </c>
      <c r="AA510" s="72">
        <f t="shared" si="212"/>
        <v>168.65962530426407</v>
      </c>
      <c r="AB510" s="110">
        <f t="shared" ca="1" si="213"/>
        <v>-19.572461392358978</v>
      </c>
      <c r="AC510" s="111">
        <f t="shared" ca="1" si="214"/>
        <v>-82.668793737455289</v>
      </c>
      <c r="AD510" s="72">
        <f t="shared" ca="1" si="215"/>
        <v>97.331206262544711</v>
      </c>
    </row>
    <row r="511" spans="1:30">
      <c r="A511" s="118">
        <v>68001.75</v>
      </c>
      <c r="B511" s="101">
        <f t="shared" ca="1" si="189"/>
        <v>3487.1813231672891</v>
      </c>
      <c r="C511" s="102">
        <f t="shared" ca="1" si="190"/>
        <v>1.5705095622360645</v>
      </c>
      <c r="D511" s="102">
        <f t="shared" si="191"/>
        <v>90.372629366510168</v>
      </c>
      <c r="E511" s="103">
        <f t="shared" si="192"/>
        <v>1.5597308038048652</v>
      </c>
      <c r="F511" s="101">
        <f t="shared" si="193"/>
        <v>5127.2112492102015</v>
      </c>
      <c r="G511" s="104">
        <f t="shared" si="194"/>
        <v>1.5706012889940855</v>
      </c>
      <c r="H511" s="113">
        <f t="shared" si="195"/>
        <v>6.4865599263529647</v>
      </c>
      <c r="I511" s="114">
        <f t="shared" si="196"/>
        <v>1.4160141121247043</v>
      </c>
      <c r="J511" s="101">
        <f t="shared" si="197"/>
        <v>1.0009123717817141</v>
      </c>
      <c r="K511" s="104">
        <f t="shared" si="198"/>
        <v>4.2700787724251905E-2</v>
      </c>
      <c r="L511" s="102">
        <f t="shared" si="199"/>
        <v>1</v>
      </c>
      <c r="M511" s="103">
        <f t="shared" si="200"/>
        <v>2.2431548788649439E-9</v>
      </c>
      <c r="N511" s="101">
        <f t="shared" si="201"/>
        <v>1</v>
      </c>
      <c r="O511" s="104">
        <f t="shared" si="202"/>
        <v>3.5890478061839104E-10</v>
      </c>
      <c r="P511" s="105">
        <f t="shared" ca="1" si="203"/>
        <v>3.945906935050715</v>
      </c>
      <c r="Q511" s="106">
        <f t="shared" ca="1" si="204"/>
        <v>1.4341349235518208</v>
      </c>
      <c r="R511" s="107">
        <f t="shared" ca="1" si="205"/>
        <v>-29.420796055223796</v>
      </c>
      <c r="S511" s="108">
        <f t="shared" ca="1" si="206"/>
        <v>-94.091223457832001</v>
      </c>
      <c r="T511" s="116">
        <f t="shared" ca="1" si="207"/>
        <v>85.908776542167999</v>
      </c>
      <c r="V511" s="72">
        <f t="shared" ca="1" si="208"/>
        <v>68001.75</v>
      </c>
      <c r="W511" s="72">
        <f t="shared" si="209"/>
        <v>4624238003.0625</v>
      </c>
      <c r="Y511" s="110">
        <f t="shared" si="210"/>
        <v>6.1171429707122478</v>
      </c>
      <c r="Z511" s="111">
        <f t="shared" si="211"/>
        <v>-11.303767624898457</v>
      </c>
      <c r="AA511" s="72">
        <f t="shared" si="212"/>
        <v>168.69623237510154</v>
      </c>
      <c r="AB511" s="110">
        <f t="shared" ca="1" si="213"/>
        <v>-19.620338679054537</v>
      </c>
      <c r="AC511" s="111">
        <f t="shared" ca="1" si="214"/>
        <v>-82.787455832933531</v>
      </c>
      <c r="AD511" s="72">
        <f t="shared" ca="1" si="215"/>
        <v>97.212544167066469</v>
      </c>
    </row>
    <row r="512" spans="1:30">
      <c r="A512" s="118">
        <v>68395.5</v>
      </c>
      <c r="B512" s="101">
        <f t="shared" ca="1" si="189"/>
        <v>3507.3731201932274</v>
      </c>
      <c r="C512" s="102">
        <f t="shared" ca="1" si="190"/>
        <v>1.5705112131274084</v>
      </c>
      <c r="D512" s="102">
        <f t="shared" si="191"/>
        <v>90.895849407056119</v>
      </c>
      <c r="E512" s="103">
        <f t="shared" si="192"/>
        <v>1.5597945023973578</v>
      </c>
      <c r="F512" s="101">
        <f t="shared" si="193"/>
        <v>5156.8992991912892</v>
      </c>
      <c r="G512" s="104">
        <f t="shared" si="194"/>
        <v>1.5706024118184254</v>
      </c>
      <c r="H512" s="113">
        <f t="shared" si="195"/>
        <v>6.5232288522919673</v>
      </c>
      <c r="I512" s="114">
        <f t="shared" si="196"/>
        <v>1.4168911426304698</v>
      </c>
      <c r="J512" s="101">
        <f t="shared" si="197"/>
        <v>1.0009229632840408</v>
      </c>
      <c r="K512" s="104">
        <f t="shared" si="198"/>
        <v>4.2947734709541927E-2</v>
      </c>
      <c r="L512" s="102">
        <f t="shared" si="199"/>
        <v>1</v>
      </c>
      <c r="M512" s="103">
        <f t="shared" si="200"/>
        <v>2.2561434009772877E-9</v>
      </c>
      <c r="N512" s="101">
        <f t="shared" si="201"/>
        <v>1</v>
      </c>
      <c r="O512" s="104">
        <f t="shared" si="202"/>
        <v>3.6098294415636601E-10</v>
      </c>
      <c r="P512" s="105">
        <f t="shared" ca="1" si="203"/>
        <v>3.9676080469062436</v>
      </c>
      <c r="Q512" s="106">
        <f t="shared" ca="1" si="204"/>
        <v>1.4362531457339889</v>
      </c>
      <c r="R512" s="107">
        <f t="shared" ca="1" si="205"/>
        <v>-29.469717736254939</v>
      </c>
      <c r="S512" s="108">
        <f t="shared" ca="1" si="206"/>
        <v>-94.172996783637075</v>
      </c>
      <c r="T512" s="116">
        <f t="shared" ca="1" si="207"/>
        <v>85.827003216362925</v>
      </c>
      <c r="V512" s="72">
        <f t="shared" ca="1" si="208"/>
        <v>68395.5</v>
      </c>
      <c r="W512" s="72">
        <f t="shared" si="209"/>
        <v>4677944420.25</v>
      </c>
      <c r="Y512" s="110">
        <f t="shared" si="210"/>
        <v>6.1158658762149294</v>
      </c>
      <c r="Z512" s="111">
        <f t="shared" si="211"/>
        <v>-11.267730830863981</v>
      </c>
      <c r="AA512" s="72">
        <f t="shared" si="212"/>
        <v>168.73226916913603</v>
      </c>
      <c r="AB512" s="110">
        <f t="shared" ca="1" si="213"/>
        <v>-19.667983265588365</v>
      </c>
      <c r="AC512" s="111">
        <f t="shared" ca="1" si="214"/>
        <v>-82.905265952773036</v>
      </c>
      <c r="AD512" s="72">
        <f t="shared" ca="1" si="215"/>
        <v>97.094734047226964</v>
      </c>
    </row>
    <row r="513" spans="1:30">
      <c r="A513" s="118">
        <v>68789.25</v>
      </c>
      <c r="B513" s="101">
        <f t="shared" ca="1" si="189"/>
        <v>3527.5649172286148</v>
      </c>
      <c r="C513" s="102">
        <f t="shared" ca="1" si="190"/>
        <v>1.5705128451193335</v>
      </c>
      <c r="D513" s="102">
        <f t="shared" si="191"/>
        <v>91.419069812191296</v>
      </c>
      <c r="E513" s="103">
        <f t="shared" si="192"/>
        <v>1.5598574718555054</v>
      </c>
      <c r="F513" s="101">
        <f t="shared" si="193"/>
        <v>5186.5873491788052</v>
      </c>
      <c r="G513" s="104">
        <f t="shared" si="194"/>
        <v>1.5706035217886618</v>
      </c>
      <c r="H513" s="113">
        <f t="shared" si="195"/>
        <v>6.5599027396874385</v>
      </c>
      <c r="I513" s="114">
        <f t="shared" si="196"/>
        <v>1.4177583675181578</v>
      </c>
      <c r="J513" s="101">
        <f t="shared" si="197"/>
        <v>1.0009336158241722</v>
      </c>
      <c r="K513" s="104">
        <f t="shared" si="198"/>
        <v>4.3194676453572937E-2</v>
      </c>
      <c r="L513" s="102">
        <f t="shared" si="199"/>
        <v>1</v>
      </c>
      <c r="M513" s="103">
        <f t="shared" si="200"/>
        <v>2.2691319230896315E-9</v>
      </c>
      <c r="N513" s="101">
        <f t="shared" si="201"/>
        <v>1</v>
      </c>
      <c r="O513" s="104">
        <f t="shared" si="202"/>
        <v>3.6306110769434103E-10</v>
      </c>
      <c r="P513" s="105">
        <f t="shared" ca="1" si="203"/>
        <v>3.9893226723505797</v>
      </c>
      <c r="Q513" s="106">
        <f t="shared" ca="1" si="204"/>
        <v>1.4383560177766705</v>
      </c>
      <c r="R513" s="107">
        <f t="shared" ca="1" si="205"/>
        <v>-29.518389433394162</v>
      </c>
      <c r="S513" s="108">
        <f t="shared" ca="1" si="206"/>
        <v>-94.25449208844141</v>
      </c>
      <c r="T513" s="116">
        <f t="shared" ca="1" si="207"/>
        <v>85.74550791155859</v>
      </c>
      <c r="V513" s="72">
        <f t="shared" ca="1" si="208"/>
        <v>68789.25</v>
      </c>
      <c r="W513" s="72">
        <f t="shared" si="209"/>
        <v>4731960915.5625</v>
      </c>
      <c r="Y513" s="110">
        <f t="shared" si="210"/>
        <v>6.1146082314194397</v>
      </c>
      <c r="Z513" s="111">
        <f t="shared" si="211"/>
        <v>-11.232254820573599</v>
      </c>
      <c r="AA513" s="72">
        <f t="shared" si="212"/>
        <v>168.76774517942641</v>
      </c>
      <c r="AB513" s="110">
        <f t="shared" ca="1" si="213"/>
        <v>-19.715397317932098</v>
      </c>
      <c r="AC513" s="111">
        <f t="shared" ca="1" si="214"/>
        <v>-83.022237267867851</v>
      </c>
      <c r="AD513" s="72">
        <f t="shared" ca="1" si="215"/>
        <v>96.977762732132149</v>
      </c>
    </row>
    <row r="514" spans="1:30">
      <c r="A514" s="118">
        <v>69183</v>
      </c>
      <c r="B514" s="101">
        <f t="shared" ca="1" si="189"/>
        <v>3547.7567142732914</v>
      </c>
      <c r="C514" s="102">
        <f t="shared" ca="1" si="190"/>
        <v>1.5705144585345341</v>
      </c>
      <c r="D514" s="102">
        <f t="shared" si="191"/>
        <v>91.942290575691359</v>
      </c>
      <c r="E514" s="103">
        <f t="shared" si="192"/>
        <v>1.559919724626772</v>
      </c>
      <c r="F514" s="101">
        <f t="shared" si="193"/>
        <v>5216.2753991726368</v>
      </c>
      <c r="G514" s="104">
        <f t="shared" si="194"/>
        <v>1.5706046191242695</v>
      </c>
      <c r="H514" s="113">
        <f t="shared" si="195"/>
        <v>6.5965815057892918</v>
      </c>
      <c r="I514" s="114">
        <f t="shared" si="196"/>
        <v>1.4186159490379413</v>
      </c>
      <c r="J514" s="101">
        <f t="shared" si="197"/>
        <v>1.0009443294001592</v>
      </c>
      <c r="K514" s="104">
        <f t="shared" si="198"/>
        <v>4.3441612926395611E-2</v>
      </c>
      <c r="L514" s="102">
        <f t="shared" si="199"/>
        <v>1</v>
      </c>
      <c r="M514" s="103">
        <f t="shared" si="200"/>
        <v>2.2821204452019754E-9</v>
      </c>
      <c r="N514" s="101">
        <f t="shared" si="201"/>
        <v>1</v>
      </c>
      <c r="O514" s="104">
        <f t="shared" si="202"/>
        <v>3.6513927123231604E-10</v>
      </c>
      <c r="P514" s="105">
        <f t="shared" ca="1" si="203"/>
        <v>4.0110507171820844</v>
      </c>
      <c r="Q514" s="106">
        <f t="shared" ca="1" si="204"/>
        <v>1.4404437770266478</v>
      </c>
      <c r="R514" s="107">
        <f t="shared" ca="1" si="205"/>
        <v>-29.566813731396245</v>
      </c>
      <c r="S514" s="108">
        <f t="shared" ca="1" si="206"/>
        <v>-94.335712991124851</v>
      </c>
      <c r="T514" s="116">
        <f t="shared" ca="1" si="207"/>
        <v>85.664287008875149</v>
      </c>
      <c r="V514" s="72">
        <f t="shared" ca="1" si="208"/>
        <v>69183</v>
      </c>
      <c r="W514" s="72">
        <f t="shared" si="209"/>
        <v>4786287489</v>
      </c>
      <c r="Y514" s="110">
        <f t="shared" si="210"/>
        <v>6.1133695915400397</v>
      </c>
      <c r="Z514" s="111">
        <f t="shared" si="211"/>
        <v>-11.197330308636188</v>
      </c>
      <c r="AA514" s="72">
        <f t="shared" si="212"/>
        <v>168.8026696913638</v>
      </c>
      <c r="AB514" s="110">
        <f t="shared" ca="1" si="213"/>
        <v>-19.76258297605478</v>
      </c>
      <c r="AC514" s="111">
        <f t="shared" ca="1" si="214"/>
        <v>-83.138382682488682</v>
      </c>
      <c r="AD514" s="72">
        <f t="shared" ca="1" si="215"/>
        <v>96.861617317511318</v>
      </c>
    </row>
    <row r="515" spans="1:30">
      <c r="A515" s="118">
        <v>69586</v>
      </c>
      <c r="B515" s="101">
        <f t="shared" ca="1" si="189"/>
        <v>3568.4228583056138</v>
      </c>
      <c r="C515" s="102">
        <f t="shared" ca="1" si="190"/>
        <v>1.5705160909448317</v>
      </c>
      <c r="D515" s="102">
        <f t="shared" si="191"/>
        <v>92.477803239331791</v>
      </c>
      <c r="E515" s="103">
        <f t="shared" si="192"/>
        <v>1.5599827103995356</v>
      </c>
      <c r="F515" s="101">
        <f t="shared" si="193"/>
        <v>5246.6608827283089</v>
      </c>
      <c r="G515" s="104">
        <f t="shared" si="194"/>
        <v>1.5706057293790532</v>
      </c>
      <c r="H515" s="113">
        <f t="shared" si="195"/>
        <v>6.6341268993119247</v>
      </c>
      <c r="I515" s="114">
        <f t="shared" si="196"/>
        <v>1.4194838566955095</v>
      </c>
      <c r="J515" s="101">
        <f t="shared" si="197"/>
        <v>1.0009553578615931</v>
      </c>
      <c r="K515" s="104">
        <f t="shared" si="198"/>
        <v>4.3694344956854418E-2</v>
      </c>
      <c r="L515" s="102">
        <f t="shared" si="199"/>
        <v>1</v>
      </c>
      <c r="M515" s="103">
        <f t="shared" si="200"/>
        <v>2.2954140945004501E-9</v>
      </c>
      <c r="N515" s="101">
        <f t="shared" si="201"/>
        <v>1</v>
      </c>
      <c r="O515" s="104">
        <f t="shared" si="202"/>
        <v>3.6726625512007202E-10</v>
      </c>
      <c r="P515" s="105">
        <f t="shared" ca="1" si="203"/>
        <v>4.0333029990154854</v>
      </c>
      <c r="Q515" s="106">
        <f t="shared" ca="1" si="204"/>
        <v>1.4425651751877351</v>
      </c>
      <c r="R515" s="107">
        <f t="shared" ca="1" si="205"/>
        <v>-29.616122088477795</v>
      </c>
      <c r="S515" s="108">
        <f t="shared" ca="1" si="206"/>
        <v>-94.418561508969233</v>
      </c>
      <c r="T515" s="116">
        <f t="shared" ca="1" si="207"/>
        <v>85.581438491030767</v>
      </c>
      <c r="V515" s="72">
        <f t="shared" ca="1" si="208"/>
        <v>69586</v>
      </c>
      <c r="W515" s="72">
        <f t="shared" si="209"/>
        <v>4842211396</v>
      </c>
      <c r="Y515" s="110">
        <f t="shared" si="210"/>
        <v>6.1121210819960119</v>
      </c>
      <c r="Z515" s="111">
        <f t="shared" si="211"/>
        <v>-11.16214695377678</v>
      </c>
      <c r="AA515" s="72">
        <f t="shared" si="212"/>
        <v>168.83785304622322</v>
      </c>
      <c r="AB515" s="110">
        <f t="shared" ca="1" si="213"/>
        <v>-19.810642823592303</v>
      </c>
      <c r="AC515" s="111">
        <f t="shared" ca="1" si="214"/>
        <v>-83.256414555192436</v>
      </c>
      <c r="AD515" s="72">
        <f t="shared" ca="1" si="215"/>
        <v>96.743585444807564</v>
      </c>
    </row>
    <row r="516" spans="1:30">
      <c r="A516" s="118">
        <v>69989</v>
      </c>
      <c r="B516" s="101">
        <f t="shared" ca="1" si="189"/>
        <v>3589.0890023473357</v>
      </c>
      <c r="C516" s="102">
        <f t="shared" ca="1" si="190"/>
        <v>1.5705177045561378</v>
      </c>
      <c r="D516" s="102">
        <f t="shared" si="191"/>
        <v>93.013316265626344</v>
      </c>
      <c r="E516" s="103">
        <f t="shared" si="192"/>
        <v>1.5600449709064608</v>
      </c>
      <c r="F516" s="101">
        <f t="shared" si="193"/>
        <v>5277.0463662903749</v>
      </c>
      <c r="G516" s="104">
        <f t="shared" si="194"/>
        <v>1.5706068268480375</v>
      </c>
      <c r="H516" s="113">
        <f t="shared" si="195"/>
        <v>6.6716772338345569</v>
      </c>
      <c r="I516" s="114">
        <f t="shared" si="196"/>
        <v>1.4203419952693483</v>
      </c>
      <c r="J516" s="101">
        <f t="shared" si="197"/>
        <v>1.0009664502561171</v>
      </c>
      <c r="K516" s="104">
        <f t="shared" si="198"/>
        <v>4.3947071402062117E-2</v>
      </c>
      <c r="L516" s="102">
        <f t="shared" si="199"/>
        <v>1</v>
      </c>
      <c r="M516" s="103">
        <f t="shared" si="200"/>
        <v>2.3087077437989252E-9</v>
      </c>
      <c r="N516" s="101">
        <f t="shared" si="201"/>
        <v>1</v>
      </c>
      <c r="O516" s="104">
        <f t="shared" si="202"/>
        <v>3.6939323900782804E-10</v>
      </c>
      <c r="P516" s="105">
        <f t="shared" ca="1" si="203"/>
        <v>4.0555691467660155</v>
      </c>
      <c r="Q516" s="106">
        <f t="shared" ca="1" si="204"/>
        <v>1.4446712299364266</v>
      </c>
      <c r="R516" s="107">
        <f t="shared" ca="1" si="205"/>
        <v>-29.665176643937588</v>
      </c>
      <c r="S516" s="108">
        <f t="shared" ca="1" si="206"/>
        <v>-94.50113006629212</v>
      </c>
      <c r="T516" s="116">
        <f t="shared" ca="1" si="207"/>
        <v>85.49886993370788</v>
      </c>
      <c r="V516" s="72">
        <f t="shared" ca="1" si="208"/>
        <v>69989</v>
      </c>
      <c r="W516" s="72">
        <f t="shared" si="209"/>
        <v>4898460121</v>
      </c>
      <c r="Y516" s="110">
        <f t="shared" si="210"/>
        <v>6.1108915768925955</v>
      </c>
      <c r="Z516" s="111">
        <f t="shared" si="211"/>
        <v>-11.12752227360178</v>
      </c>
      <c r="AA516" s="72">
        <f t="shared" si="212"/>
        <v>168.87247772639822</v>
      </c>
      <c r="AB516" s="110">
        <f t="shared" ca="1" si="213"/>
        <v>-19.85846787394868</v>
      </c>
      <c r="AC516" s="111">
        <f t="shared" ca="1" si="214"/>
        <v>-83.373607792690322</v>
      </c>
      <c r="AD516" s="72">
        <f t="shared" ca="1" si="215"/>
        <v>96.626392207309678</v>
      </c>
    </row>
    <row r="517" spans="1:30">
      <c r="A517" s="118">
        <v>70392</v>
      </c>
      <c r="B517" s="101">
        <f t="shared" ca="1" si="189"/>
        <v>3609.7551463982954</v>
      </c>
      <c r="C517" s="102">
        <f t="shared" ca="1" si="190"/>
        <v>1.5705192996913302</v>
      </c>
      <c r="D517" s="102">
        <f t="shared" si="191"/>
        <v>93.548829648347052</v>
      </c>
      <c r="E517" s="103">
        <f t="shared" si="192"/>
        <v>1.5601065186022531</v>
      </c>
      <c r="F517" s="101">
        <f t="shared" si="193"/>
        <v>5307.4318498587227</v>
      </c>
      <c r="G517" s="104">
        <f t="shared" si="194"/>
        <v>1.5706079117508216</v>
      </c>
      <c r="H517" s="113">
        <f t="shared" si="195"/>
        <v>6.7092324263955936</v>
      </c>
      <c r="I517" s="114">
        <f t="shared" si="196"/>
        <v>1.4211905275333505</v>
      </c>
      <c r="J517" s="101">
        <f t="shared" si="197"/>
        <v>1.0009776065816058</v>
      </c>
      <c r="K517" s="104">
        <f t="shared" si="198"/>
        <v>4.4199792229921347E-2</v>
      </c>
      <c r="L517" s="102">
        <f t="shared" si="199"/>
        <v>1</v>
      </c>
      <c r="M517" s="103">
        <f t="shared" si="200"/>
        <v>2.3220013930974004E-9</v>
      </c>
      <c r="N517" s="101">
        <f t="shared" si="201"/>
        <v>1</v>
      </c>
      <c r="O517" s="104">
        <f t="shared" si="202"/>
        <v>3.7152022289558402E-10</v>
      </c>
      <c r="P517" s="105">
        <f t="shared" ca="1" si="203"/>
        <v>4.0778490677123127</v>
      </c>
      <c r="Q517" s="106">
        <f t="shared" ca="1" si="204"/>
        <v>1.4467621804634496</v>
      </c>
      <c r="R517" s="107">
        <f t="shared" ca="1" si="205"/>
        <v>-29.713980047874884</v>
      </c>
      <c r="S517" s="108">
        <f t="shared" ca="1" si="206"/>
        <v>-94.583422357096183</v>
      </c>
      <c r="T517" s="116">
        <f t="shared" ca="1" si="207"/>
        <v>85.416577642903817</v>
      </c>
      <c r="V517" s="72">
        <f t="shared" ca="1" si="208"/>
        <v>70392</v>
      </c>
      <c r="W517" s="72">
        <f t="shared" si="209"/>
        <v>4955033664</v>
      </c>
      <c r="Y517" s="110">
        <f t="shared" si="210"/>
        <v>6.1096806379518087</v>
      </c>
      <c r="Z517" s="111">
        <f t="shared" si="211"/>
        <v>-11.093446952597112</v>
      </c>
      <c r="AA517" s="72">
        <f t="shared" si="212"/>
        <v>168.90655304740289</v>
      </c>
      <c r="AB517" s="110">
        <f t="shared" ca="1" si="213"/>
        <v>-19.906060338945188</v>
      </c>
      <c r="AC517" s="111">
        <f t="shared" ca="1" si="214"/>
        <v>-83.489975404498963</v>
      </c>
      <c r="AD517" s="72">
        <f t="shared" ca="1" si="215"/>
        <v>96.510024595501037</v>
      </c>
    </row>
    <row r="518" spans="1:30">
      <c r="A518" s="118">
        <v>70795</v>
      </c>
      <c r="B518" s="101">
        <f t="shared" ca="1" si="189"/>
        <v>3630.4212904583355</v>
      </c>
      <c r="C518" s="102">
        <f t="shared" ca="1" si="190"/>
        <v>1.570520876665934</v>
      </c>
      <c r="D518" s="102">
        <f t="shared" si="191"/>
        <v>94.084343381407777</v>
      </c>
      <c r="E518" s="103">
        <f t="shared" si="192"/>
        <v>1.560167365658079</v>
      </c>
      <c r="F518" s="101">
        <f t="shared" si="193"/>
        <v>5337.8173334332478</v>
      </c>
      <c r="G518" s="104">
        <f t="shared" si="194"/>
        <v>1.5706089843020041</v>
      </c>
      <c r="H518" s="113">
        <f t="shared" si="195"/>
        <v>6.7467923958700116</v>
      </c>
      <c r="I518" s="114">
        <f t="shared" si="196"/>
        <v>1.4220296126927428</v>
      </c>
      <c r="J518" s="101">
        <f t="shared" si="197"/>
        <v>1.0009888268359215</v>
      </c>
      <c r="K518" s="104">
        <f t="shared" si="198"/>
        <v>4.4452507408339004E-2</v>
      </c>
      <c r="L518" s="102">
        <f t="shared" si="199"/>
        <v>1</v>
      </c>
      <c r="M518" s="103">
        <f t="shared" si="200"/>
        <v>2.3352950423958751E-9</v>
      </c>
      <c r="N518" s="101">
        <f t="shared" si="201"/>
        <v>1</v>
      </c>
      <c r="O518" s="104">
        <f t="shared" si="202"/>
        <v>3.7364720678334004E-10</v>
      </c>
      <c r="P518" s="105">
        <f t="shared" ca="1" si="203"/>
        <v>4.1001426717809295</v>
      </c>
      <c r="Q518" s="106">
        <f t="shared" ca="1" si="204"/>
        <v>1.4488382610597437</v>
      </c>
      <c r="R518" s="107">
        <f t="shared" ca="1" si="205"/>
        <v>-29.762534911091294</v>
      </c>
      <c r="S518" s="108">
        <f t="shared" ca="1" si="206"/>
        <v>-94.665442014654303</v>
      </c>
      <c r="T518" s="116">
        <f t="shared" ca="1" si="207"/>
        <v>85.334557985345697</v>
      </c>
      <c r="V518" s="72">
        <f t="shared" ca="1" si="208"/>
        <v>70795</v>
      </c>
      <c r="W518" s="72">
        <f t="shared" si="209"/>
        <v>5011932025</v>
      </c>
      <c r="Y518" s="110">
        <f t="shared" si="210"/>
        <v>6.1084878390616488</v>
      </c>
      <c r="Z518" s="111">
        <f t="shared" si="211"/>
        <v>-11.059911879432059</v>
      </c>
      <c r="AA518" s="72">
        <f t="shared" si="212"/>
        <v>168.94008812056794</v>
      </c>
      <c r="AB518" s="110">
        <f t="shared" ca="1" si="213"/>
        <v>-19.953422403271436</v>
      </c>
      <c r="AC518" s="111">
        <f t="shared" ca="1" si="214"/>
        <v>-83.605530135222253</v>
      </c>
      <c r="AD518" s="72">
        <f t="shared" ca="1" si="215"/>
        <v>96.394469864777747</v>
      </c>
    </row>
    <row r="519" spans="1:30">
      <c r="A519" s="118">
        <v>71207.25</v>
      </c>
      <c r="B519" s="101">
        <f t="shared" ca="1" si="189"/>
        <v>3651.5617815066557</v>
      </c>
      <c r="C519" s="102">
        <f t="shared" ca="1" si="190"/>
        <v>1.5705224713674562</v>
      </c>
      <c r="D519" s="102">
        <f t="shared" si="191"/>
        <v>94.632149039076367</v>
      </c>
      <c r="E519" s="103">
        <f t="shared" si="192"/>
        <v>1.5602288967813143</v>
      </c>
      <c r="F519" s="101">
        <f t="shared" si="193"/>
        <v>5368.9002505700437</v>
      </c>
      <c r="G519" s="104">
        <f t="shared" si="194"/>
        <v>1.5706100689098343</v>
      </c>
      <c r="H519" s="113">
        <f t="shared" si="195"/>
        <v>6.7852193337535009</v>
      </c>
      <c r="I519" s="114">
        <f t="shared" si="196"/>
        <v>1.4228783447491933</v>
      </c>
      <c r="J519" s="101">
        <f t="shared" si="197"/>
        <v>1.0010003707715407</v>
      </c>
      <c r="K519" s="104">
        <f t="shared" si="198"/>
        <v>4.4711017242356911E-2</v>
      </c>
      <c r="L519" s="102">
        <f t="shared" si="199"/>
        <v>1</v>
      </c>
      <c r="M519" s="103">
        <f t="shared" si="200"/>
        <v>2.3488938188804816E-9</v>
      </c>
      <c r="N519" s="101">
        <f t="shared" si="201"/>
        <v>1</v>
      </c>
      <c r="O519" s="104">
        <f t="shared" si="202"/>
        <v>3.7582301102087702E-10</v>
      </c>
      <c r="P519" s="105">
        <f t="shared" ca="1" si="203"/>
        <v>4.1229620442996282</v>
      </c>
      <c r="Q519" s="106">
        <f t="shared" ca="1" si="204"/>
        <v>1.4509468470851368</v>
      </c>
      <c r="R519" s="107">
        <f t="shared" ca="1" si="205"/>
        <v>-29.811949765335385</v>
      </c>
      <c r="S519" s="108">
        <f t="shared" ca="1" si="206"/>
        <v>-94.749065891218237</v>
      </c>
      <c r="T519" s="116">
        <f t="shared" ca="1" si="207"/>
        <v>85.250934108781763</v>
      </c>
      <c r="V519" s="72">
        <f t="shared" ca="1" si="208"/>
        <v>71207.25</v>
      </c>
      <c r="W519" s="72">
        <f t="shared" si="209"/>
        <v>5070472452.5625</v>
      </c>
      <c r="Y519" s="110">
        <f t="shared" si="210"/>
        <v>6.107285999477126</v>
      </c>
      <c r="Z519" s="111">
        <f t="shared" si="211"/>
        <v>-11.026156779869876</v>
      </c>
      <c r="AA519" s="72">
        <f t="shared" si="212"/>
        <v>168.97384322013014</v>
      </c>
      <c r="AB519" s="110">
        <f t="shared" ca="1" si="213"/>
        <v>-20.001635417931006</v>
      </c>
      <c r="AC519" s="111">
        <f t="shared" ca="1" si="214"/>
        <v>-83.722909111348386</v>
      </c>
      <c r="AD519" s="72">
        <f t="shared" ca="1" si="215"/>
        <v>96.277090888651614</v>
      </c>
    </row>
    <row r="520" spans="1:30">
      <c r="A520" s="118">
        <v>71619.5</v>
      </c>
      <c r="B520" s="101">
        <f t="shared" ca="1" si="189"/>
        <v>3672.7022725641559</v>
      </c>
      <c r="C520" s="102">
        <f t="shared" ca="1" si="190"/>
        <v>1.5705240477104125</v>
      </c>
      <c r="D520" s="102">
        <f t="shared" si="191"/>
        <v>95.179955050905562</v>
      </c>
      <c r="E520" s="103">
        <f t="shared" si="192"/>
        <v>1.5602897196228878</v>
      </c>
      <c r="F520" s="101">
        <f t="shared" si="193"/>
        <v>5399.9831677130824</v>
      </c>
      <c r="G520" s="104">
        <f t="shared" si="194"/>
        <v>1.5706111410314123</v>
      </c>
      <c r="H520" s="113">
        <f t="shared" si="195"/>
        <v>6.823651104291673</v>
      </c>
      <c r="I520" s="114">
        <f t="shared" si="196"/>
        <v>1.4237175170459113</v>
      </c>
      <c r="J520" s="101">
        <f t="shared" si="197"/>
        <v>1.0010119815998009</v>
      </c>
      <c r="K520" s="104">
        <f t="shared" si="198"/>
        <v>4.4969521096691854E-2</v>
      </c>
      <c r="L520" s="102">
        <f t="shared" si="199"/>
        <v>1</v>
      </c>
      <c r="M520" s="103">
        <f t="shared" si="200"/>
        <v>2.3624925953650876E-9</v>
      </c>
      <c r="N520" s="101">
        <f t="shared" si="201"/>
        <v>1</v>
      </c>
      <c r="O520" s="104">
        <f t="shared" si="202"/>
        <v>3.77998815258414E-10</v>
      </c>
      <c r="P520" s="105">
        <f t="shared" ca="1" si="203"/>
        <v>4.1457955527981278</v>
      </c>
      <c r="Q520" s="106">
        <f t="shared" ca="1" si="204"/>
        <v>1.4530403535189873</v>
      </c>
      <c r="R520" s="107">
        <f t="shared" ca="1" si="205"/>
        <v>-29.861109942561548</v>
      </c>
      <c r="S520" s="108">
        <f t="shared" ca="1" si="206"/>
        <v>-94.832411976377017</v>
      </c>
      <c r="T520" s="116">
        <f t="shared" ca="1" si="207"/>
        <v>85.167588023622983</v>
      </c>
      <c r="V520" s="72">
        <f t="shared" ca="1" si="208"/>
        <v>71619.5</v>
      </c>
      <c r="W520" s="72">
        <f t="shared" si="209"/>
        <v>5129352780.25</v>
      </c>
      <c r="Y520" s="110">
        <f t="shared" si="210"/>
        <v>6.1061022774674587</v>
      </c>
      <c r="Z520" s="111">
        <f t="shared" si="211"/>
        <v>-10.992948356173994</v>
      </c>
      <c r="AA520" s="72">
        <f t="shared" si="212"/>
        <v>169.007051643826</v>
      </c>
      <c r="AB520" s="110">
        <f t="shared" ca="1" si="213"/>
        <v>-20.049611873147501</v>
      </c>
      <c r="AC520" s="111">
        <f t="shared" ca="1" si="214"/>
        <v>-83.839463620203006</v>
      </c>
      <c r="AD520" s="72">
        <f t="shared" ca="1" si="215"/>
        <v>96.160536379796994</v>
      </c>
    </row>
    <row r="521" spans="1:30">
      <c r="A521" s="118">
        <v>72031.75</v>
      </c>
      <c r="B521" s="101">
        <f t="shared" ca="1" si="189"/>
        <v>3693.8427636306774</v>
      </c>
      <c r="C521" s="102">
        <f t="shared" ca="1" si="190"/>
        <v>1.5705256060100108</v>
      </c>
      <c r="D521" s="102">
        <f t="shared" si="191"/>
        <v>95.727761410815262</v>
      </c>
      <c r="E521" s="103">
        <f t="shared" si="192"/>
        <v>1.560349846341865</v>
      </c>
      <c r="F521" s="101">
        <f t="shared" si="193"/>
        <v>5431.0660848622583</v>
      </c>
      <c r="G521" s="104">
        <f t="shared" si="194"/>
        <v>1.5706122008811212</v>
      </c>
      <c r="H521" s="113">
        <f t="shared" si="195"/>
        <v>6.8620876262873098</v>
      </c>
      <c r="I521" s="114">
        <f t="shared" si="196"/>
        <v>1.4245472890318216</v>
      </c>
      <c r="J521" s="101">
        <f t="shared" si="197"/>
        <v>1.0010236593183743</v>
      </c>
      <c r="K521" s="104">
        <f t="shared" si="198"/>
        <v>4.5228018937003851E-2</v>
      </c>
      <c r="L521" s="102">
        <f t="shared" si="199"/>
        <v>1</v>
      </c>
      <c r="M521" s="103">
        <f t="shared" si="200"/>
        <v>2.376091371849694E-9</v>
      </c>
      <c r="N521" s="101">
        <f t="shared" si="201"/>
        <v>1</v>
      </c>
      <c r="O521" s="104">
        <f t="shared" si="202"/>
        <v>3.8017461949595103E-10</v>
      </c>
      <c r="P521" s="105">
        <f t="shared" ca="1" si="203"/>
        <v>4.1686431090177054</v>
      </c>
      <c r="Q521" s="106">
        <f t="shared" ca="1" si="204"/>
        <v>1.4551190160235061</v>
      </c>
      <c r="R521" s="107">
        <f t="shared" ca="1" si="205"/>
        <v>-29.910018114708187</v>
      </c>
      <c r="S521" s="108">
        <f t="shared" ca="1" si="206"/>
        <v>-94.91548396854283</v>
      </c>
      <c r="T521" s="116">
        <f t="shared" ca="1" si="207"/>
        <v>85.08451603145717</v>
      </c>
      <c r="V521" s="72">
        <f t="shared" ca="1" si="208"/>
        <v>72031.75</v>
      </c>
      <c r="W521" s="72">
        <f t="shared" si="209"/>
        <v>5188573008.0625</v>
      </c>
      <c r="Y521" s="110">
        <f t="shared" si="210"/>
        <v>6.1049362538524967</v>
      </c>
      <c r="Z521" s="111">
        <f t="shared" si="211"/>
        <v>-10.960277482909691</v>
      </c>
      <c r="AA521" s="72">
        <f t="shared" si="212"/>
        <v>169.0397225170903</v>
      </c>
      <c r="AB521" s="110">
        <f t="shared" ca="1" si="213"/>
        <v>-20.09735402167918</v>
      </c>
      <c r="AC521" s="111">
        <f t="shared" ca="1" si="214"/>
        <v>-83.955206485633113</v>
      </c>
      <c r="AD521" s="72">
        <f t="shared" ca="1" si="215"/>
        <v>96.044793514366887</v>
      </c>
    </row>
    <row r="522" spans="1:30">
      <c r="A522" s="118">
        <v>72444</v>
      </c>
      <c r="B522" s="101">
        <f t="shared" ca="1" si="189"/>
        <v>3714.983254706066</v>
      </c>
      <c r="C522" s="102">
        <f t="shared" ca="1" si="190"/>
        <v>1.5705271465742834</v>
      </c>
      <c r="D522" s="102">
        <f t="shared" si="191"/>
        <v>96.27556811286378</v>
      </c>
      <c r="E522" s="103">
        <f t="shared" si="192"/>
        <v>1.5604092888205927</v>
      </c>
      <c r="F522" s="101">
        <f t="shared" si="193"/>
        <v>5462.1490020174642</v>
      </c>
      <c r="G522" s="104">
        <f t="shared" si="194"/>
        <v>1.5706132486684639</v>
      </c>
      <c r="H522" s="113">
        <f t="shared" si="195"/>
        <v>6.9005288203423651</v>
      </c>
      <c r="I522" s="114">
        <f t="shared" si="196"/>
        <v>1.425367816655281</v>
      </c>
      <c r="J522" s="101">
        <f t="shared" si="197"/>
        <v>1.0010354039249201</v>
      </c>
      <c r="K522" s="104">
        <f t="shared" si="198"/>
        <v>4.5486510728957749E-2</v>
      </c>
      <c r="L522" s="102">
        <f t="shared" si="199"/>
        <v>1</v>
      </c>
      <c r="M522" s="103">
        <f t="shared" si="200"/>
        <v>2.3896901483343001E-9</v>
      </c>
      <c r="N522" s="101">
        <f t="shared" si="201"/>
        <v>1</v>
      </c>
      <c r="O522" s="104">
        <f t="shared" si="202"/>
        <v>3.8235042373348801E-10</v>
      </c>
      <c r="P522" s="105">
        <f t="shared" ca="1" si="203"/>
        <v>4.1915046273090697</v>
      </c>
      <c r="Q522" s="106">
        <f t="shared" ca="1" si="204"/>
        <v>1.4571830654103004</v>
      </c>
      <c r="R522" s="107">
        <f t="shared" ca="1" si="205"/>
        <v>-29.958676913894081</v>
      </c>
      <c r="S522" s="108">
        <f t="shared" ca="1" si="206"/>
        <v>-94.998285503940934</v>
      </c>
      <c r="T522" s="116">
        <f t="shared" ca="1" si="207"/>
        <v>85.001714496059066</v>
      </c>
      <c r="V522" s="72">
        <f t="shared" ca="1" si="208"/>
        <v>72444</v>
      </c>
      <c r="W522" s="72">
        <f t="shared" si="209"/>
        <v>5248133136</v>
      </c>
      <c r="Y522" s="110">
        <f t="shared" si="210"/>
        <v>6.1037875210957528</v>
      </c>
      <c r="Z522" s="111">
        <f t="shared" si="211"/>
        <v>-10.928135234930641</v>
      </c>
      <c r="AA522" s="72">
        <f t="shared" si="212"/>
        <v>169.07186476506936</v>
      </c>
      <c r="AB522" s="110">
        <f t="shared" ca="1" si="213"/>
        <v>-20.144864088108328</v>
      </c>
      <c r="AC522" s="111">
        <f t="shared" ca="1" si="214"/>
        <v>-84.070150269010313</v>
      </c>
      <c r="AD522" s="72">
        <f t="shared" ca="1" si="215"/>
        <v>95.929849730989687</v>
      </c>
    </row>
    <row r="523" spans="1:30">
      <c r="A523" s="118">
        <v>72865.75</v>
      </c>
      <c r="B523" s="101">
        <f t="shared" ca="1" si="189"/>
        <v>3736.6109129589804</v>
      </c>
      <c r="C523" s="102">
        <f t="shared" ca="1" si="190"/>
        <v>1.5705287046005523</v>
      </c>
      <c r="D523" s="102">
        <f t="shared" si="191"/>
        <v>96.835998968054724</v>
      </c>
      <c r="E523" s="103">
        <f t="shared" si="192"/>
        <v>1.5604694051428618</v>
      </c>
      <c r="F523" s="101">
        <f t="shared" si="193"/>
        <v>5493.9482022909324</v>
      </c>
      <c r="G523" s="104">
        <f t="shared" si="194"/>
        <v>1.5706143083322717</v>
      </c>
      <c r="H523" s="113">
        <f t="shared" si="195"/>
        <v>6.9398606174601687</v>
      </c>
      <c r="I523" s="114">
        <f t="shared" si="196"/>
        <v>1.4261978454253688</v>
      </c>
      <c r="J523" s="101">
        <f t="shared" si="197"/>
        <v>1.0010474883926952</v>
      </c>
      <c r="K523" s="104">
        <f t="shared" si="198"/>
        <v>4.5750952980532396E-2</v>
      </c>
      <c r="L523" s="102">
        <f t="shared" si="199"/>
        <v>1</v>
      </c>
      <c r="M523" s="103">
        <f t="shared" si="200"/>
        <v>2.4036022986857442E-9</v>
      </c>
      <c r="N523" s="101">
        <f t="shared" si="201"/>
        <v>1</v>
      </c>
      <c r="O523" s="104">
        <f t="shared" si="202"/>
        <v>3.8457636778971901E-10</v>
      </c>
      <c r="P523" s="105">
        <f t="shared" ca="1" si="203"/>
        <v>4.2149073343328718</v>
      </c>
      <c r="Q523" s="106">
        <f t="shared" ca="1" si="204"/>
        <v>1.4592797929122352</v>
      </c>
      <c r="R523" s="107">
        <f t="shared" ca="1" si="205"/>
        <v>-30.008201664216298</v>
      </c>
      <c r="S523" s="108">
        <f t="shared" ca="1" si="206"/>
        <v>-95.082718990605045</v>
      </c>
      <c r="T523" s="116">
        <f t="shared" ca="1" si="207"/>
        <v>84.917281009394955</v>
      </c>
      <c r="V523" s="72">
        <f t="shared" ca="1" si="208"/>
        <v>72865.75</v>
      </c>
      <c r="W523" s="72">
        <f t="shared" si="209"/>
        <v>5309417523.0625</v>
      </c>
      <c r="Y523" s="110">
        <f t="shared" si="210"/>
        <v>6.1026297965994525</v>
      </c>
      <c r="Z523" s="111">
        <f t="shared" si="211"/>
        <v>-10.895790228027719</v>
      </c>
      <c r="AA523" s="72">
        <f t="shared" si="212"/>
        <v>169.10420977197228</v>
      </c>
      <c r="AB523" s="110">
        <f t="shared" ca="1" si="213"/>
        <v>-20.193231113934246</v>
      </c>
      <c r="AC523" s="111">
        <f t="shared" ca="1" si="214"/>
        <v>-84.186928762577352</v>
      </c>
      <c r="AD523" s="72">
        <f t="shared" ca="1" si="215"/>
        <v>95.813071237422648</v>
      </c>
    </row>
    <row r="524" spans="1:30">
      <c r="A524" s="118">
        <v>73287.5</v>
      </c>
      <c r="B524" s="101">
        <f t="shared" ca="1" si="189"/>
        <v>3758.2385712208597</v>
      </c>
      <c r="C524" s="102">
        <f t="shared" ca="1" si="190"/>
        <v>1.570530244694772</v>
      </c>
      <c r="D524" s="102">
        <f t="shared" si="191"/>
        <v>97.396430169180832</v>
      </c>
      <c r="E524" s="103">
        <f t="shared" si="192"/>
        <v>1.5605288296317181</v>
      </c>
      <c r="F524" s="101">
        <f t="shared" si="193"/>
        <v>5525.7474025704987</v>
      </c>
      <c r="G524" s="104">
        <f t="shared" si="194"/>
        <v>1.5706153557999154</v>
      </c>
      <c r="H524" s="113">
        <f t="shared" si="195"/>
        <v>6.9791971418878349</v>
      </c>
      <c r="I524" s="114">
        <f t="shared" si="196"/>
        <v>1.4270185182504111</v>
      </c>
      <c r="J524" s="101">
        <f t="shared" si="197"/>
        <v>1.0010596428617324</v>
      </c>
      <c r="K524" s="104">
        <f t="shared" si="198"/>
        <v>4.6015388829092771E-2</v>
      </c>
      <c r="L524" s="102">
        <f t="shared" si="199"/>
        <v>1</v>
      </c>
      <c r="M524" s="103">
        <f t="shared" si="200"/>
        <v>2.4175144490371879E-9</v>
      </c>
      <c r="N524" s="101">
        <f t="shared" si="201"/>
        <v>1</v>
      </c>
      <c r="O524" s="104">
        <f t="shared" si="202"/>
        <v>3.8680231184595001E-10</v>
      </c>
      <c r="P524" s="105">
        <f t="shared" ca="1" si="203"/>
        <v>4.2383244810561589</v>
      </c>
      <c r="Q524" s="106">
        <f t="shared" ca="1" si="204"/>
        <v>1.4613616997224974</v>
      </c>
      <c r="R524" s="107">
        <f t="shared" ca="1" si="205"/>
        <v>-30.057470864723808</v>
      </c>
      <c r="S524" s="108">
        <f t="shared" ca="1" si="206"/>
        <v>-95.16687691640054</v>
      </c>
      <c r="T524" s="116">
        <f t="shared" ca="1" si="207"/>
        <v>84.83312308359946</v>
      </c>
      <c r="V524" s="72">
        <f t="shared" ca="1" si="208"/>
        <v>73287.5</v>
      </c>
      <c r="W524" s="72">
        <f t="shared" si="209"/>
        <v>5371057656.25</v>
      </c>
      <c r="Y524" s="110">
        <f t="shared" si="210"/>
        <v>6.10148934182644</v>
      </c>
      <c r="Z524" s="111">
        <f t="shared" si="211"/>
        <v>-10.863980211635427</v>
      </c>
      <c r="AA524" s="72">
        <f t="shared" si="212"/>
        <v>169.13601978836456</v>
      </c>
      <c r="AB524" s="110">
        <f t="shared" ca="1" si="213"/>
        <v>-20.241359859668741</v>
      </c>
      <c r="AC524" s="111">
        <f t="shared" ca="1" si="214"/>
        <v>-84.302896704765089</v>
      </c>
      <c r="AD524" s="72">
        <f t="shared" ca="1" si="215"/>
        <v>95.697103295234911</v>
      </c>
    </row>
    <row r="525" spans="1:30">
      <c r="A525" s="118">
        <v>73709.25</v>
      </c>
      <c r="B525" s="101">
        <f t="shared" ca="1" si="189"/>
        <v>3779.8662294915512</v>
      </c>
      <c r="C525" s="102">
        <f t="shared" ca="1" si="190"/>
        <v>1.5705317671647534</v>
      </c>
      <c r="D525" s="102">
        <f t="shared" si="191"/>
        <v>97.95686171030458</v>
      </c>
      <c r="E525" s="103">
        <f t="shared" si="192"/>
        <v>1.5605875741611062</v>
      </c>
      <c r="F525" s="101">
        <f t="shared" si="193"/>
        <v>5557.5466028560577</v>
      </c>
      <c r="G525" s="104">
        <f t="shared" si="194"/>
        <v>1.5706163912807469</v>
      </c>
      <c r="H525" s="113">
        <f t="shared" si="195"/>
        <v>7.0185383141404643</v>
      </c>
      <c r="I525" s="114">
        <f t="shared" si="196"/>
        <v>1.4278299913448309</v>
      </c>
      <c r="J525" s="101">
        <f t="shared" si="197"/>
        <v>1.0010718673294818</v>
      </c>
      <c r="K525" s="104">
        <f t="shared" si="198"/>
        <v>4.6279818237890728E-2</v>
      </c>
      <c r="L525" s="102">
        <f t="shared" si="199"/>
        <v>1</v>
      </c>
      <c r="M525" s="103">
        <f t="shared" si="200"/>
        <v>2.4314265993886315E-9</v>
      </c>
      <c r="N525" s="101">
        <f t="shared" si="201"/>
        <v>1</v>
      </c>
      <c r="O525" s="104">
        <f t="shared" si="202"/>
        <v>3.8902825590218101E-10</v>
      </c>
      <c r="P525" s="105">
        <f t="shared" ca="1" si="203"/>
        <v>4.2617559838132921</v>
      </c>
      <c r="Q525" s="106">
        <f t="shared" ca="1" si="204"/>
        <v>1.4634290179968032</v>
      </c>
      <c r="R525" s="107">
        <f t="shared" ca="1" si="205"/>
        <v>-30.106487209283262</v>
      </c>
      <c r="S525" s="108">
        <f t="shared" ca="1" si="206"/>
        <v>-95.250762979641721</v>
      </c>
      <c r="T525" s="116">
        <f t="shared" ca="1" si="207"/>
        <v>84.749237020358279</v>
      </c>
      <c r="V525" s="72">
        <f t="shared" ca="1" si="208"/>
        <v>73709.25</v>
      </c>
      <c r="W525" s="72">
        <f t="shared" si="209"/>
        <v>5433053535.5625</v>
      </c>
      <c r="Y525" s="110">
        <f t="shared" si="210"/>
        <v>6.1003657557863855</v>
      </c>
      <c r="Z525" s="111">
        <f t="shared" si="211"/>
        <v>-10.832696245216109</v>
      </c>
      <c r="AA525" s="72">
        <f t="shared" si="212"/>
        <v>169.16730375478389</v>
      </c>
      <c r="AB525" s="110">
        <f t="shared" ca="1" si="213"/>
        <v>-20.289252618188144</v>
      </c>
      <c r="AC525" s="111">
        <f t="shared" ca="1" si="214"/>
        <v>-84.418066734425622</v>
      </c>
      <c r="AD525" s="72">
        <f t="shared" ca="1" si="215"/>
        <v>95.581933265574378</v>
      </c>
    </row>
    <row r="526" spans="1:30">
      <c r="A526" s="118">
        <v>74131</v>
      </c>
      <c r="B526" s="101">
        <f t="shared" ref="B526:B589" ca="1" si="216">SQRT(1+(A526/Pole1)^2)</f>
        <v>3801.4938877709046</v>
      </c>
      <c r="C526" s="102">
        <f t="shared" ref="C526:C589" ca="1" si="217">ATAN(A526/Pole1)</f>
        <v>1.5705332723113028</v>
      </c>
      <c r="D526" s="102">
        <f t="shared" ref="D526:D589" si="218">SQRT(1+(A526/Zero1)^2)</f>
        <v>98.517293585623605</v>
      </c>
      <c r="E526" s="103">
        <f t="shared" ref="E526:E589" si="219">ATAN(A526/Zero1)</f>
        <v>1.5606456503348016</v>
      </c>
      <c r="F526" s="101">
        <f t="shared" ref="F526:F589" si="220">SQRT(1+(A526/Pole2)^2)</f>
        <v>5589.3458031475093</v>
      </c>
      <c r="G526" s="104">
        <f t="shared" ref="G526:G589" si="221">ATAN(A526/Pole2)</f>
        <v>1.5706174149793544</v>
      </c>
      <c r="H526" s="113">
        <f t="shared" ref="H526:H589" si="222">SQRT(1+(A526/Zero2)^2)</f>
        <v>7.0578840564960874</v>
      </c>
      <c r="I526" s="114">
        <f t="shared" ref="I526:I589" si="223">ATAN(A526/Zero2)</f>
        <v>1.4286324174887257</v>
      </c>
      <c r="J526" s="101">
        <f t="shared" ref="J526:J589" si="224">SQRT(1+(A526/pole4)^2)</f>
        <v>1.0010841617933794</v>
      </c>
      <c r="K526" s="104">
        <f t="shared" ref="K526:K589" si="225">ATAN(A526/pole4)</f>
        <v>4.654424117018352E-2</v>
      </c>
      <c r="L526" s="102">
        <f t="shared" ref="L526:L589" si="226">SQRT(1+(A526/Zerofeed)^2)</f>
        <v>1</v>
      </c>
      <c r="M526" s="103">
        <f t="shared" ref="M526:M589" si="227">ATAN(A526/Zerofeed)</f>
        <v>2.4453387497400752E-9</v>
      </c>
      <c r="N526" s="101">
        <f t="shared" ref="N526:N589" si="228">SQRT(1+(A526/Polefeed)^2)</f>
        <v>1</v>
      </c>
      <c r="O526" s="104">
        <f t="shared" ref="O526:O589" si="229">ATAN(A526/Polefeed)</f>
        <v>3.9125419995841201E-10</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-30.155253351413968</v>
      </c>
      <c r="S526" s="108">
        <f t="shared" ref="S526:S589" ca="1" si="233">((E526+I526+M526)-(C526+G526+Q526+K526+O526))*radconv</f>
        <v>-95.334380815157814</v>
      </c>
      <c r="T526" s="116">
        <f t="shared" ref="T526:T589" ca="1" si="234">IF(S526&gt;0,S526,S526+180)</f>
        <v>84.665619184842186</v>
      </c>
      <c r="V526" s="72">
        <f t="shared" ref="V526:V589" ca="1" si="235">IF(R526&lt;0,A526,1000000000)</f>
        <v>74131</v>
      </c>
      <c r="W526" s="72">
        <f t="shared" ref="W526:W589" si="236">A526^2</f>
        <v>5495405161</v>
      </c>
      <c r="Y526" s="110">
        <f t="shared" ref="Y526:Y589" si="237">20*LOG10(((H526*L526)/(F526*J526*N526))*Aea)</f>
        <v>6.0992586486354119</v>
      </c>
      <c r="Z526" s="111">
        <f t="shared" ref="Z526:Z589" si="238">(I526+M526-(G526+K526+O526))*radconv</f>
        <v>-10.80192958473179</v>
      </c>
      <c r="AA526" s="72">
        <f t="shared" ref="AA526:AA589" si="239">IF(Z526&gt;0,Z526,Z526+180)</f>
        <v>169.19807041526821</v>
      </c>
      <c r="AB526" s="110">
        <f t="shared" ref="AB526:AB589" ca="1" si="240">20*LOG10((D526/(B526*P526))*Acs*Am)</f>
        <v>-20.336911653167874</v>
      </c>
      <c r="AC526" s="111">
        <f t="shared" ref="AC526:AC589" ca="1" si="241">(E526-(C526+Q526))*radconv</f>
        <v>-84.532451230426034</v>
      </c>
      <c r="AD526" s="72">
        <f t="shared" ref="AD526:AD589" ca="1" si="242">IF(AC526&gt;0,AC526,AC526+180)</f>
        <v>95.467548769573966</v>
      </c>
    </row>
    <row r="527" spans="1:30">
      <c r="A527" s="118">
        <v>74562.75</v>
      </c>
      <c r="B527" s="101">
        <f t="shared" ca="1" si="216"/>
        <v>3823.6343536057125</v>
      </c>
      <c r="C527" s="102">
        <f t="shared" ca="1" si="217"/>
        <v>1.5705347955084501</v>
      </c>
      <c r="D527" s="102">
        <f t="shared" si="218"/>
        <v>99.091014049575264</v>
      </c>
      <c r="E527" s="103">
        <f t="shared" si="219"/>
        <v>1.5607044230616121</v>
      </c>
      <c r="F527" s="101">
        <f t="shared" si="220"/>
        <v>5621.8989856688213</v>
      </c>
      <c r="G527" s="104">
        <f t="shared" si="221"/>
        <v>1.5706184509547538</v>
      </c>
      <c r="H527" s="113">
        <f t="shared" si="222"/>
        <v>7.0981673696745613</v>
      </c>
      <c r="I527" s="114">
        <f t="shared" si="223"/>
        <v>1.4294446544823902</v>
      </c>
      <c r="J527" s="101">
        <f t="shared" si="224"/>
        <v>1.0010968202706005</v>
      </c>
      <c r="K527" s="104">
        <f t="shared" si="225"/>
        <v>4.681492701596833E-2</v>
      </c>
      <c r="L527" s="102">
        <f t="shared" si="226"/>
        <v>1</v>
      </c>
      <c r="M527" s="103">
        <f t="shared" si="227"/>
        <v>2.4595807673197692E-9</v>
      </c>
      <c r="N527" s="101">
        <f t="shared" si="228"/>
        <v>1</v>
      </c>
      <c r="O527" s="104">
        <f t="shared" si="229"/>
        <v>3.9353292277116301E-10</v>
      </c>
      <c r="P527" s="105">
        <f t="shared" ca="1" si="230"/>
        <v>4.309218160309376</v>
      </c>
      <c r="Q527" s="106">
        <f t="shared" ca="1" si="231"/>
        <v>1.4675689657553044</v>
      </c>
      <c r="R527" s="107">
        <f t="shared" ca="1" si="232"/>
        <v>-30.204919331659596</v>
      </c>
      <c r="S527" s="108">
        <f t="shared" ca="1" si="233"/>
        <v>-95.419707176994038</v>
      </c>
      <c r="T527" s="116">
        <f t="shared" ca="1" si="234"/>
        <v>84.580292823005962</v>
      </c>
      <c r="V527" s="72">
        <f t="shared" ca="1" si="235"/>
        <v>74562.75</v>
      </c>
      <c r="W527" s="72">
        <f t="shared" si="236"/>
        <v>5559603687.5625</v>
      </c>
      <c r="Y527" s="110">
        <f t="shared" si="237"/>
        <v>6.0981419650849293</v>
      </c>
      <c r="Z527" s="111">
        <f t="shared" si="238"/>
        <v>-10.770960345865065</v>
      </c>
      <c r="AA527" s="72">
        <f t="shared" si="239"/>
        <v>169.22903965413494</v>
      </c>
      <c r="AB527" s="110">
        <f t="shared" ca="1" si="240"/>
        <v>-20.38546094986302</v>
      </c>
      <c r="AC527" s="111">
        <f t="shared" ca="1" si="241"/>
        <v>-84.648746831128989</v>
      </c>
      <c r="AD527" s="72">
        <f t="shared" ca="1" si="242"/>
        <v>95.351253168871011</v>
      </c>
    </row>
    <row r="528" spans="1:30">
      <c r="A528" s="118">
        <v>74994.5</v>
      </c>
      <c r="B528" s="101">
        <f t="shared" ca="1" si="216"/>
        <v>3845.7748194492897</v>
      </c>
      <c r="C528" s="102">
        <f t="shared" ca="1" si="217"/>
        <v>1.570536301167236</v>
      </c>
      <c r="D528" s="102">
        <f t="shared" si="218"/>
        <v>99.664734851869696</v>
      </c>
      <c r="E528" s="103">
        <f t="shared" si="219"/>
        <v>1.560762519137326</v>
      </c>
      <c r="F528" s="101">
        <f t="shared" si="220"/>
        <v>5654.4521681960978</v>
      </c>
      <c r="G528" s="104">
        <f t="shared" si="221"/>
        <v>1.570619475001749</v>
      </c>
      <c r="H528" s="113">
        <f t="shared" si="222"/>
        <v>7.1384553128654815</v>
      </c>
      <c r="I528" s="114">
        <f t="shared" si="223"/>
        <v>1.4302477238107363</v>
      </c>
      <c r="J528" s="101">
        <f t="shared" si="224"/>
        <v>1.0011095520971558</v>
      </c>
      <c r="K528" s="104">
        <f t="shared" si="225"/>
        <v>4.7085605996574409E-2</v>
      </c>
      <c r="L528" s="102">
        <f t="shared" si="226"/>
        <v>1</v>
      </c>
      <c r="M528" s="103">
        <f t="shared" si="227"/>
        <v>2.4738227848994628E-9</v>
      </c>
      <c r="N528" s="101">
        <f t="shared" si="228"/>
        <v>1</v>
      </c>
      <c r="O528" s="104">
        <f t="shared" si="229"/>
        <v>3.9581164558391402E-10</v>
      </c>
      <c r="P528" s="105">
        <f t="shared" ca="1" si="230"/>
        <v>4.3332493549924758</v>
      </c>
      <c r="Q528" s="106">
        <f t="shared" ca="1" si="231"/>
        <v>1.4696413734174703</v>
      </c>
      <c r="R528" s="107">
        <f t="shared" ca="1" si="232"/>
        <v>-30.254328605276815</v>
      </c>
      <c r="S528" s="108">
        <f t="shared" ca="1" si="233"/>
        <v>-95.504759950419427</v>
      </c>
      <c r="T528" s="116">
        <f t="shared" ca="1" si="234"/>
        <v>84.495240049580573</v>
      </c>
      <c r="V528" s="72">
        <f t="shared" ca="1" si="235"/>
        <v>74994.5</v>
      </c>
      <c r="W528" s="72">
        <f t="shared" si="236"/>
        <v>5624175030.25</v>
      </c>
      <c r="Y528" s="110">
        <f t="shared" si="237"/>
        <v>6.0970417585666139</v>
      </c>
      <c r="Z528" s="111">
        <f t="shared" si="238"/>
        <v>-10.74051529873668</v>
      </c>
      <c r="AA528" s="72">
        <f t="shared" si="239"/>
        <v>169.25948470126332</v>
      </c>
      <c r="AB528" s="110">
        <f t="shared" ca="1" si="240"/>
        <v>-20.433770016961926</v>
      </c>
      <c r="AC528" s="111">
        <f t="shared" ca="1" si="241"/>
        <v>-84.764244651682773</v>
      </c>
      <c r="AD528" s="72">
        <f t="shared" ca="1" si="242"/>
        <v>95.235755348317227</v>
      </c>
    </row>
    <row r="529" spans="1:30">
      <c r="A529" s="118">
        <v>75426.25</v>
      </c>
      <c r="B529" s="101">
        <f t="shared" ca="1" si="216"/>
        <v>3867.9152853014853</v>
      </c>
      <c r="C529" s="102">
        <f t="shared" ca="1" si="217"/>
        <v>1.5705377895888362</v>
      </c>
      <c r="D529" s="102">
        <f t="shared" si="218"/>
        <v>100.23845598669733</v>
      </c>
      <c r="E529" s="103">
        <f t="shared" si="219"/>
        <v>1.5608199501801132</v>
      </c>
      <c r="F529" s="101">
        <f t="shared" si="220"/>
        <v>5687.0053507292359</v>
      </c>
      <c r="G529" s="104">
        <f t="shared" si="221"/>
        <v>1.570620487325179</v>
      </c>
      <c r="H529" s="113">
        <f t="shared" si="222"/>
        <v>7.1787478081163894</v>
      </c>
      <c r="I529" s="114">
        <f t="shared" si="223"/>
        <v>1.4310417787964722</v>
      </c>
      <c r="J529" s="101">
        <f t="shared" si="224"/>
        <v>1.0011223572702466</v>
      </c>
      <c r="K529" s="104">
        <f t="shared" si="225"/>
        <v>4.7356278072600677E-2</v>
      </c>
      <c r="L529" s="102">
        <f t="shared" si="226"/>
        <v>1</v>
      </c>
      <c r="M529" s="103">
        <f t="shared" si="227"/>
        <v>2.4880648024791563E-9</v>
      </c>
      <c r="N529" s="101">
        <f t="shared" si="228"/>
        <v>1</v>
      </c>
      <c r="O529" s="104">
        <f t="shared" si="229"/>
        <v>3.9809036839666503E-10</v>
      </c>
      <c r="P529" s="105">
        <f t="shared" ca="1" si="230"/>
        <v>4.3572952664982489</v>
      </c>
      <c r="Q529" s="106">
        <f t="shared" ca="1" si="231"/>
        <v>1.471699427131792</v>
      </c>
      <c r="R529" s="107">
        <f t="shared" ca="1" si="232"/>
        <v>-30.303483892691709</v>
      </c>
      <c r="S529" s="108">
        <f t="shared" ca="1" si="233"/>
        <v>-95.58954283564826</v>
      </c>
      <c r="T529" s="116">
        <f t="shared" ca="1" si="234"/>
        <v>84.41045716435174</v>
      </c>
      <c r="V529" s="72">
        <f t="shared" ca="1" si="235"/>
        <v>75426.25</v>
      </c>
      <c r="W529" s="72">
        <f t="shared" si="236"/>
        <v>5689119189.0625</v>
      </c>
      <c r="Y529" s="110">
        <f t="shared" si="237"/>
        <v>6.0959576447822874</v>
      </c>
      <c r="Z529" s="111">
        <f t="shared" si="238"/>
        <v>-10.710585668081425</v>
      </c>
      <c r="AA529" s="72">
        <f t="shared" si="239"/>
        <v>169.28941433191858</v>
      </c>
      <c r="AB529" s="110">
        <f t="shared" ca="1" si="240"/>
        <v>-20.48184119059249</v>
      </c>
      <c r="AC529" s="111">
        <f t="shared" ca="1" si="241"/>
        <v>-84.878957167566796</v>
      </c>
      <c r="AD529" s="72">
        <f t="shared" ca="1" si="242"/>
        <v>95.121042832433204</v>
      </c>
    </row>
    <row r="530" spans="1:30">
      <c r="A530" s="118">
        <v>75858</v>
      </c>
      <c r="B530" s="101">
        <f t="shared" ca="1" si="216"/>
        <v>3890.0557511621523</v>
      </c>
      <c r="C530" s="102">
        <f t="shared" ca="1" si="217"/>
        <v>1.5705392610675699</v>
      </c>
      <c r="D530" s="102">
        <f t="shared" si="218"/>
        <v>100.81217744838084</v>
      </c>
      <c r="E530" s="103">
        <f t="shared" si="219"/>
        <v>1.5608767275436866</v>
      </c>
      <c r="F530" s="101">
        <f t="shared" si="220"/>
        <v>5719.5585332681358</v>
      </c>
      <c r="G530" s="104">
        <f t="shared" si="221"/>
        <v>1.5706214881252198</v>
      </c>
      <c r="H530" s="113">
        <f t="shared" si="222"/>
        <v>7.2190447792064596</v>
      </c>
      <c r="I530" s="114">
        <f t="shared" si="223"/>
        <v>1.4318269693849466</v>
      </c>
      <c r="J530" s="101">
        <f t="shared" si="224"/>
        <v>1.0011352357870582</v>
      </c>
      <c r="K530" s="104">
        <f t="shared" si="225"/>
        <v>4.7626943204652161E-2</v>
      </c>
      <c r="L530" s="102">
        <f t="shared" si="226"/>
        <v>1</v>
      </c>
      <c r="M530" s="103">
        <f t="shared" si="227"/>
        <v>2.5023068200588503E-9</v>
      </c>
      <c r="N530" s="101">
        <f t="shared" si="228"/>
        <v>1</v>
      </c>
      <c r="O530" s="104">
        <f t="shared" si="229"/>
        <v>4.0036909120941603E-10</v>
      </c>
      <c r="P530" s="105">
        <f t="shared" ca="1" si="230"/>
        <v>4.3813558183044092</v>
      </c>
      <c r="Q530" s="106">
        <f t="shared" ca="1" si="231"/>
        <v>1.4737433511925333</v>
      </c>
      <c r="R530" s="107">
        <f t="shared" ca="1" si="232"/>
        <v>-30.352387873358893</v>
      </c>
      <c r="S530" s="108">
        <f t="shared" ca="1" si="233"/>
        <v>-95.674059468114976</v>
      </c>
      <c r="T530" s="116">
        <f t="shared" ca="1" si="234"/>
        <v>84.325940531885024</v>
      </c>
      <c r="V530" s="72">
        <f t="shared" ca="1" si="235"/>
        <v>75858</v>
      </c>
      <c r="W530" s="72">
        <f t="shared" si="236"/>
        <v>5754436164</v>
      </c>
      <c r="Y530" s="110">
        <f t="shared" si="237"/>
        <v>6.0948892501304188</v>
      </c>
      <c r="Z530" s="111">
        <f t="shared" si="238"/>
        <v>-10.681162871875758</v>
      </c>
      <c r="AA530" s="72">
        <f t="shared" si="239"/>
        <v>169.31883712812424</v>
      </c>
      <c r="AB530" s="110">
        <f t="shared" ca="1" si="240"/>
        <v>-20.529676776607811</v>
      </c>
      <c r="AC530" s="111">
        <f t="shared" ca="1" si="241"/>
        <v>-84.992896596239149</v>
      </c>
      <c r="AD530" s="72">
        <f t="shared" ca="1" si="242"/>
        <v>95.007103403760851</v>
      </c>
    </row>
    <row r="531" spans="1:30">
      <c r="A531" s="118">
        <v>76299.75</v>
      </c>
      <c r="B531" s="101">
        <f t="shared" ca="1" si="216"/>
        <v>3912.7090245788759</v>
      </c>
      <c r="C531" s="102">
        <f t="shared" ca="1" si="217"/>
        <v>1.5705407493919759</v>
      </c>
      <c r="D531" s="102">
        <f t="shared" si="218"/>
        <v>101.39918752194426</v>
      </c>
      <c r="E531" s="103">
        <f t="shared" si="219"/>
        <v>1.5609341549666158</v>
      </c>
      <c r="F531" s="101">
        <f t="shared" si="220"/>
        <v>5752.8656980373071</v>
      </c>
      <c r="G531" s="104">
        <f t="shared" si="221"/>
        <v>1.570622500382544</v>
      </c>
      <c r="H531" s="113">
        <f t="shared" si="222"/>
        <v>7.2602796454895451</v>
      </c>
      <c r="I531" s="114">
        <f t="shared" si="223"/>
        <v>1.4326213244082007</v>
      </c>
      <c r="J531" s="101">
        <f t="shared" si="224"/>
        <v>1.0011484884988775</v>
      </c>
      <c r="K531" s="104">
        <f t="shared" si="225"/>
        <v>4.7903870133016759E-2</v>
      </c>
      <c r="L531" s="102">
        <f t="shared" si="226"/>
        <v>1</v>
      </c>
      <c r="M531" s="103">
        <f t="shared" si="227"/>
        <v>2.5168787048667942E-9</v>
      </c>
      <c r="N531" s="101">
        <f t="shared" si="228"/>
        <v>1</v>
      </c>
      <c r="O531" s="104">
        <f t="shared" si="229"/>
        <v>4.0270059277868704E-10</v>
      </c>
      <c r="P531" s="105">
        <f t="shared" ca="1" si="230"/>
        <v>4.4059887254734074</v>
      </c>
      <c r="Q531" s="106">
        <f t="shared" ca="1" si="231"/>
        <v>1.4758202204370512</v>
      </c>
      <c r="R531" s="107">
        <f t="shared" ca="1" si="232"/>
        <v>-30.402167193504464</v>
      </c>
      <c r="S531" s="108">
        <f t="shared" ca="1" si="233"/>
        <v>-95.76026178760219</v>
      </c>
      <c r="T531" s="116">
        <f t="shared" ca="1" si="234"/>
        <v>84.23973821239781</v>
      </c>
      <c r="V531" s="72">
        <f t="shared" ca="1" si="235"/>
        <v>76299.75</v>
      </c>
      <c r="W531" s="72">
        <f t="shared" si="236"/>
        <v>5821651850.0625</v>
      </c>
      <c r="Y531" s="110">
        <f t="shared" si="237"/>
        <v>6.0938120004496179</v>
      </c>
      <c r="Z531" s="111">
        <f t="shared" si="238"/>
        <v>-10.651574423174422</v>
      </c>
      <c r="AA531" s="72">
        <f t="shared" si="239"/>
        <v>169.34842557682558</v>
      </c>
      <c r="AB531" s="110">
        <f t="shared" ca="1" si="240"/>
        <v>-20.578378847072578</v>
      </c>
      <c r="AC531" s="111">
        <f t="shared" ca="1" si="241"/>
        <v>-85.108687364427709</v>
      </c>
      <c r="AD531" s="72">
        <f t="shared" ca="1" si="242"/>
        <v>94.891312635572291</v>
      </c>
    </row>
    <row r="532" spans="1:30">
      <c r="A532" s="118">
        <v>76741.5</v>
      </c>
      <c r="B532" s="101">
        <f t="shared" ca="1" si="216"/>
        <v>3935.3622980041669</v>
      </c>
      <c r="C532" s="102">
        <f t="shared" ca="1" si="217"/>
        <v>1.5705422205817867</v>
      </c>
      <c r="D532" s="102">
        <f t="shared" si="218"/>
        <v>101.98619792606344</v>
      </c>
      <c r="E532" s="103">
        <f t="shared" si="219"/>
        <v>1.560990921310184</v>
      </c>
      <c r="F532" s="101">
        <f t="shared" si="220"/>
        <v>5786.1728628123055</v>
      </c>
      <c r="G532" s="104">
        <f t="shared" si="221"/>
        <v>1.5706235009860783</v>
      </c>
      <c r="H532" s="113">
        <f t="shared" si="222"/>
        <v>7.3015190412622299</v>
      </c>
      <c r="I532" s="114">
        <f t="shared" si="223"/>
        <v>1.4334067067974685</v>
      </c>
      <c r="J532" s="101">
        <f t="shared" si="224"/>
        <v>1.0011618179852604</v>
      </c>
      <c r="K532" s="104">
        <f t="shared" si="225"/>
        <v>4.8180789708597252E-2</v>
      </c>
      <c r="L532" s="102">
        <f t="shared" si="226"/>
        <v>1</v>
      </c>
      <c r="M532" s="103">
        <f t="shared" si="227"/>
        <v>2.5314505896747376E-9</v>
      </c>
      <c r="N532" s="101">
        <f t="shared" si="228"/>
        <v>1</v>
      </c>
      <c r="O532" s="104">
        <f t="shared" si="229"/>
        <v>4.05032094347958E-10</v>
      </c>
      <c r="P532" s="105">
        <f t="shared" ca="1" si="230"/>
        <v>4.4306368047614839</v>
      </c>
      <c r="Q532" s="106">
        <f t="shared" ca="1" si="231"/>
        <v>1.4778827582178125</v>
      </c>
      <c r="R532" s="107">
        <f t="shared" ca="1" si="232"/>
        <v>-30.451688977840313</v>
      </c>
      <c r="S532" s="108">
        <f t="shared" ca="1" si="233"/>
        <v>-95.846192875080973</v>
      </c>
      <c r="T532" s="116">
        <f t="shared" ca="1" si="234"/>
        <v>84.153807124919027</v>
      </c>
      <c r="V532" s="72">
        <f t="shared" ca="1" si="235"/>
        <v>76741.5</v>
      </c>
      <c r="W532" s="72">
        <f t="shared" si="236"/>
        <v>5889257822.25</v>
      </c>
      <c r="Y532" s="110">
        <f t="shared" si="237"/>
        <v>6.0927504479966466</v>
      </c>
      <c r="Z532" s="111">
        <f t="shared" si="238"/>
        <v>-10.62249897953572</v>
      </c>
      <c r="AA532" s="72">
        <f t="shared" si="239"/>
        <v>169.37750102046428</v>
      </c>
      <c r="AB532" s="110">
        <f t="shared" ca="1" si="240"/>
        <v>-20.626839078955452</v>
      </c>
      <c r="AC532" s="111">
        <f t="shared" ca="1" si="241"/>
        <v>-85.223693895545225</v>
      </c>
      <c r="AD532" s="72">
        <f t="shared" ca="1" si="242"/>
        <v>94.776306104454775</v>
      </c>
    </row>
    <row r="533" spans="1:30">
      <c r="A533" s="118">
        <v>77183.25</v>
      </c>
      <c r="B533" s="101">
        <f t="shared" ca="1" si="216"/>
        <v>3958.0155714378784</v>
      </c>
      <c r="C533" s="102">
        <f t="shared" ca="1" si="217"/>
        <v>1.5705436749312063</v>
      </c>
      <c r="D533" s="102">
        <f t="shared" si="218"/>
        <v>102.57320865506321</v>
      </c>
      <c r="E533" s="103">
        <f t="shared" si="219"/>
        <v>1.5610470379237893</v>
      </c>
      <c r="F533" s="101">
        <f t="shared" si="220"/>
        <v>5819.4800275930311</v>
      </c>
      <c r="G533" s="104">
        <f t="shared" si="221"/>
        <v>1.5706244901359203</v>
      </c>
      <c r="H533" s="113">
        <f t="shared" si="222"/>
        <v>7.3427628902071591</v>
      </c>
      <c r="I533" s="114">
        <f t="shared" si="223"/>
        <v>1.4341832667718124</v>
      </c>
      <c r="J533" s="101">
        <f t="shared" si="224"/>
        <v>1.0011752242431402</v>
      </c>
      <c r="K533" s="104">
        <f t="shared" si="225"/>
        <v>4.8457701889217344E-2</v>
      </c>
      <c r="L533" s="102">
        <f t="shared" si="226"/>
        <v>1</v>
      </c>
      <c r="M533" s="103">
        <f t="shared" si="227"/>
        <v>2.5460224744826815E-9</v>
      </c>
      <c r="N533" s="101">
        <f t="shared" si="228"/>
        <v>1</v>
      </c>
      <c r="O533" s="104">
        <f t="shared" si="229"/>
        <v>4.0736359591722901E-10</v>
      </c>
      <c r="P533" s="105">
        <f t="shared" ca="1" si="230"/>
        <v>4.4552999820275971</v>
      </c>
      <c r="Q533" s="106">
        <f t="shared" ca="1" si="231"/>
        <v>1.4799311900747147</v>
      </c>
      <c r="R533" s="107">
        <f t="shared" ca="1" si="232"/>
        <v>-30.500955968307153</v>
      </c>
      <c r="S533" s="108">
        <f t="shared" ca="1" si="233"/>
        <v>-95.931856421749529</v>
      </c>
      <c r="T533" s="116">
        <f t="shared" ca="1" si="234"/>
        <v>84.068143578250471</v>
      </c>
      <c r="V533" s="72">
        <f t="shared" ca="1" si="235"/>
        <v>77183.25</v>
      </c>
      <c r="W533" s="72">
        <f t="shared" si="236"/>
        <v>5957254080.5625</v>
      </c>
      <c r="Y533" s="110">
        <f t="shared" si="237"/>
        <v>6.0917042251097886</v>
      </c>
      <c r="Z533" s="111">
        <f t="shared" si="238"/>
        <v>-10.593927943089618</v>
      </c>
      <c r="AA533" s="72">
        <f t="shared" si="239"/>
        <v>169.40607205691038</v>
      </c>
      <c r="AB533" s="110">
        <f t="shared" ca="1" si="240"/>
        <v>-20.675059846535436</v>
      </c>
      <c r="AC533" s="111">
        <f t="shared" ca="1" si="241"/>
        <v>-85.337928478659919</v>
      </c>
      <c r="AD533" s="72">
        <f t="shared" ca="1" si="242"/>
        <v>94.662071521340081</v>
      </c>
    </row>
    <row r="534" spans="1:30">
      <c r="A534" s="118">
        <v>77625</v>
      </c>
      <c r="B534" s="101">
        <f t="shared" ca="1" si="216"/>
        <v>3980.6688448798659</v>
      </c>
      <c r="C534" s="102">
        <f t="shared" ca="1" si="217"/>
        <v>1.5705451127277419</v>
      </c>
      <c r="D534" s="102">
        <f t="shared" si="218"/>
        <v>103.1602197033976</v>
      </c>
      <c r="E534" s="103">
        <f t="shared" si="219"/>
        <v>1.5611025158985208</v>
      </c>
      <c r="F534" s="101">
        <f t="shared" si="220"/>
        <v>5852.7871923793846</v>
      </c>
      <c r="G534" s="104">
        <f t="shared" si="221"/>
        <v>1.5706254680276126</v>
      </c>
      <c r="H534" s="113">
        <f t="shared" si="222"/>
        <v>7.3840111177039311</v>
      </c>
      <c r="I534" s="114">
        <f t="shared" si="223"/>
        <v>1.4349511512368149</v>
      </c>
      <c r="J534" s="101">
        <f t="shared" si="224"/>
        <v>1.0011887072694332</v>
      </c>
      <c r="K534" s="104">
        <f t="shared" si="225"/>
        <v>4.8734606632707504E-2</v>
      </c>
      <c r="L534" s="102">
        <f t="shared" si="226"/>
        <v>1</v>
      </c>
      <c r="M534" s="103">
        <f t="shared" si="227"/>
        <v>2.5605943592906253E-9</v>
      </c>
      <c r="N534" s="101">
        <f t="shared" si="228"/>
        <v>1</v>
      </c>
      <c r="O534" s="104">
        <f t="shared" si="229"/>
        <v>4.0969509748650002E-10</v>
      </c>
      <c r="P534" s="105">
        <f t="shared" ca="1" si="230"/>
        <v>4.4799781856302294</v>
      </c>
      <c r="Q534" s="106">
        <f t="shared" ca="1" si="231"/>
        <v>1.4819657368391419</v>
      </c>
      <c r="R534" s="107">
        <f t="shared" ca="1" si="232"/>
        <v>-30.549970865347476</v>
      </c>
      <c r="S534" s="108">
        <f t="shared" ca="1" si="233"/>
        <v>-96.017256053032369</v>
      </c>
      <c r="T534" s="116">
        <f t="shared" ca="1" si="234"/>
        <v>83.982743946967631</v>
      </c>
      <c r="V534" s="72">
        <f t="shared" ca="1" si="235"/>
        <v>77625</v>
      </c>
      <c r="W534" s="72">
        <f t="shared" si="236"/>
        <v>6025640625</v>
      </c>
      <c r="Y534" s="110">
        <f t="shared" si="237"/>
        <v>6.0906729743686476</v>
      </c>
      <c r="Z534" s="111">
        <f t="shared" si="238"/>
        <v>-10.565852905553829</v>
      </c>
      <c r="AA534" s="72">
        <f t="shared" si="239"/>
        <v>169.43414709444616</v>
      </c>
      <c r="AB534" s="110">
        <f t="shared" ca="1" si="240"/>
        <v>-20.72304349283462</v>
      </c>
      <c r="AC534" s="111">
        <f t="shared" ca="1" si="241"/>
        <v>-85.451403147478501</v>
      </c>
      <c r="AD534" s="72">
        <f t="shared" ca="1" si="242"/>
        <v>94.548596852521499</v>
      </c>
    </row>
    <row r="535" spans="1:30">
      <c r="A535" s="118">
        <v>78077</v>
      </c>
      <c r="B535" s="101">
        <f t="shared" ca="1" si="216"/>
        <v>4003.8477460671847</v>
      </c>
      <c r="C535" s="102">
        <f t="shared" ca="1" si="217"/>
        <v>1.5705465670453209</v>
      </c>
      <c r="D535" s="102">
        <f t="shared" si="218"/>
        <v>103.76085159329831</v>
      </c>
      <c r="E535" s="103">
        <f t="shared" si="219"/>
        <v>1.5611586314052182</v>
      </c>
      <c r="F535" s="101">
        <f t="shared" si="220"/>
        <v>5886.867188952021</v>
      </c>
      <c r="G535" s="104">
        <f t="shared" si="221"/>
        <v>1.570626457155798</v>
      </c>
      <c r="H535" s="113">
        <f t="shared" si="222"/>
        <v>7.4262208908240996</v>
      </c>
      <c r="I535" s="114">
        <f t="shared" si="223"/>
        <v>1.4357280231143779</v>
      </c>
      <c r="J535" s="101">
        <f t="shared" si="224"/>
        <v>1.0012025826024158</v>
      </c>
      <c r="K535" s="104">
        <f t="shared" si="225"/>
        <v>4.9017928701858393E-2</v>
      </c>
      <c r="L535" s="102">
        <f t="shared" si="226"/>
        <v>1</v>
      </c>
      <c r="M535" s="103">
        <f t="shared" si="227"/>
        <v>2.5755043580075254E-9</v>
      </c>
      <c r="N535" s="101">
        <f t="shared" si="228"/>
        <v>1</v>
      </c>
      <c r="O535" s="104">
        <f t="shared" si="229"/>
        <v>4.12080697281204E-10</v>
      </c>
      <c r="P535" s="105">
        <f t="shared" ca="1" si="230"/>
        <v>4.5052444829613227</v>
      </c>
      <c r="Q535" s="106">
        <f t="shared" ca="1" si="231"/>
        <v>1.4840333449695984</v>
      </c>
      <c r="R535" s="107">
        <f t="shared" ca="1" si="232"/>
        <v>-30.599864902092794</v>
      </c>
      <c r="S535" s="108">
        <f t="shared" ca="1" si="233"/>
        <v>-96.104367768405695</v>
      </c>
      <c r="T535" s="116">
        <f t="shared" ca="1" si="234"/>
        <v>83.895632231594305</v>
      </c>
      <c r="V535" s="72">
        <f t="shared" ca="1" si="235"/>
        <v>78077</v>
      </c>
      <c r="W535" s="72">
        <f t="shared" si="236"/>
        <v>6096017929</v>
      </c>
      <c r="Y535" s="110">
        <f t="shared" si="237"/>
        <v>6.0896329301889622</v>
      </c>
      <c r="Z535" s="111">
        <f t="shared" si="238"/>
        <v>-10.537631256672906</v>
      </c>
      <c r="AA535" s="72">
        <f t="shared" si="239"/>
        <v>169.46236874332709</v>
      </c>
      <c r="AB535" s="110">
        <f t="shared" ca="1" si="240"/>
        <v>-20.771897485400249</v>
      </c>
      <c r="AC535" s="111">
        <f t="shared" ca="1" si="241"/>
        <v>-85.566736511732714</v>
      </c>
      <c r="AD535" s="72">
        <f t="shared" ca="1" si="242"/>
        <v>94.433263488267286</v>
      </c>
    </row>
    <row r="536" spans="1:30">
      <c r="A536" s="118">
        <v>78529</v>
      </c>
      <c r="B536" s="101">
        <f t="shared" ca="1" si="216"/>
        <v>4027.0266472628746</v>
      </c>
      <c r="C536" s="102">
        <f t="shared" ca="1" si="217"/>
        <v>1.5705480046212759</v>
      </c>
      <c r="D536" s="102">
        <f t="shared" si="218"/>
        <v>104.36148380617581</v>
      </c>
      <c r="E536" s="103">
        <f t="shared" si="219"/>
        <v>1.5612141009883296</v>
      </c>
      <c r="F536" s="101">
        <f t="shared" si="220"/>
        <v>5920.94718553035</v>
      </c>
      <c r="G536" s="104">
        <f t="shared" si="221"/>
        <v>1.5706274348974654</v>
      </c>
      <c r="H536" s="113">
        <f t="shared" si="222"/>
        <v>7.4684350952274219</v>
      </c>
      <c r="I536" s="114">
        <f t="shared" si="223"/>
        <v>1.4364961131486143</v>
      </c>
      <c r="J536" s="101">
        <f t="shared" si="224"/>
        <v>1.0012165383010949</v>
      </c>
      <c r="K536" s="104">
        <f t="shared" si="225"/>
        <v>4.9301242895444526E-2</v>
      </c>
      <c r="L536" s="102">
        <f t="shared" si="226"/>
        <v>1</v>
      </c>
      <c r="M536" s="103">
        <f t="shared" si="227"/>
        <v>2.5904143567244251E-9</v>
      </c>
      <c r="N536" s="101">
        <f t="shared" si="228"/>
        <v>1</v>
      </c>
      <c r="O536" s="104">
        <f t="shared" si="229"/>
        <v>4.1446629707590803E-10</v>
      </c>
      <c r="P536" s="105">
        <f t="shared" ca="1" si="230"/>
        <v>4.5305263680176591</v>
      </c>
      <c r="Q536" s="106">
        <f t="shared" ca="1" si="231"/>
        <v>1.4860868693516087</v>
      </c>
      <c r="R536" s="107">
        <f t="shared" ca="1" si="232"/>
        <v>-30.649500601408842</v>
      </c>
      <c r="S536" s="108">
        <f t="shared" ca="1" si="233"/>
        <v>-96.19121065282684</v>
      </c>
      <c r="T536" s="116">
        <f t="shared" ca="1" si="234"/>
        <v>83.80878934717316</v>
      </c>
      <c r="V536" s="72">
        <f t="shared" ca="1" si="235"/>
        <v>78529</v>
      </c>
      <c r="W536" s="72">
        <f t="shared" si="236"/>
        <v>6166803841</v>
      </c>
      <c r="Y536" s="110">
        <f t="shared" si="237"/>
        <v>6.0886078353231099</v>
      </c>
      <c r="Z536" s="111">
        <f t="shared" si="238"/>
        <v>-10.509911666715462</v>
      </c>
      <c r="AA536" s="72">
        <f t="shared" si="239"/>
        <v>169.49008833328455</v>
      </c>
      <c r="AB536" s="110">
        <f t="shared" ca="1" si="240"/>
        <v>-20.820508089850449</v>
      </c>
      <c r="AC536" s="111">
        <f t="shared" ca="1" si="241"/>
        <v>-85.681298986111344</v>
      </c>
      <c r="AD536" s="72">
        <f t="shared" ca="1" si="242"/>
        <v>94.318701013888656</v>
      </c>
    </row>
    <row r="537" spans="1:30">
      <c r="A537" s="118">
        <v>78981</v>
      </c>
      <c r="B537" s="101">
        <f t="shared" ca="1" si="216"/>
        <v>4050.2055484667908</v>
      </c>
      <c r="C537" s="102">
        <f t="shared" ca="1" si="217"/>
        <v>1.5705494257430379</v>
      </c>
      <c r="D537" s="102">
        <f t="shared" si="218"/>
        <v>104.96211633648551</v>
      </c>
      <c r="E537" s="103">
        <f t="shared" si="219"/>
        <v>1.5612689357361602</v>
      </c>
      <c r="F537" s="101">
        <f t="shared" si="220"/>
        <v>5955.0271821142751</v>
      </c>
      <c r="G537" s="104">
        <f t="shared" si="221"/>
        <v>1.5706284014481067</v>
      </c>
      <c r="H537" s="113">
        <f t="shared" si="222"/>
        <v>7.5106536561947994</v>
      </c>
      <c r="I537" s="114">
        <f t="shared" si="223"/>
        <v>1.4372555685178596</v>
      </c>
      <c r="J537" s="101">
        <f t="shared" si="224"/>
        <v>1.0012305743621099</v>
      </c>
      <c r="K537" s="104">
        <f t="shared" si="225"/>
        <v>4.9584549168314646E-2</v>
      </c>
      <c r="L537" s="102">
        <f t="shared" si="226"/>
        <v>1</v>
      </c>
      <c r="M537" s="103">
        <f t="shared" si="227"/>
        <v>2.6053243554413252E-9</v>
      </c>
      <c r="N537" s="101">
        <f t="shared" si="228"/>
        <v>1</v>
      </c>
      <c r="O537" s="104">
        <f t="shared" si="229"/>
        <v>4.1685189687061201E-10</v>
      </c>
      <c r="P537" s="105">
        <f t="shared" ca="1" si="230"/>
        <v>4.5558237717556223</v>
      </c>
      <c r="Q537" s="106">
        <f t="shared" ca="1" si="231"/>
        <v>1.4881265320085386</v>
      </c>
      <c r="R537" s="107">
        <f t="shared" ca="1" si="232"/>
        <v>-30.698880726431263</v>
      </c>
      <c r="S537" s="108">
        <f t="shared" ca="1" si="233"/>
        <v>-96.277788384369671</v>
      </c>
      <c r="T537" s="116">
        <f t="shared" ca="1" si="234"/>
        <v>83.722211615630329</v>
      </c>
      <c r="V537" s="72">
        <f t="shared" ca="1" si="235"/>
        <v>78981</v>
      </c>
      <c r="W537" s="72">
        <f t="shared" si="236"/>
        <v>6237998361</v>
      </c>
      <c r="Y537" s="110">
        <f t="shared" si="237"/>
        <v>6.0875973380133344</v>
      </c>
      <c r="Z537" s="111">
        <f t="shared" si="238"/>
        <v>-10.482685711597922</v>
      </c>
      <c r="AA537" s="72">
        <f t="shared" si="239"/>
        <v>169.51731428840208</v>
      </c>
      <c r="AB537" s="110">
        <f t="shared" ca="1" si="240"/>
        <v>-20.868877717563095</v>
      </c>
      <c r="AC537" s="111">
        <f t="shared" ca="1" si="241"/>
        <v>-85.795102672771705</v>
      </c>
      <c r="AD537" s="72">
        <f t="shared" ca="1" si="242"/>
        <v>94.204897327228295</v>
      </c>
    </row>
    <row r="538" spans="1:30">
      <c r="A538" s="118">
        <v>79433</v>
      </c>
      <c r="B538" s="101">
        <f t="shared" ca="1" si="216"/>
        <v>4073.3844496787942</v>
      </c>
      <c r="C538" s="102">
        <f t="shared" ca="1" si="217"/>
        <v>1.570550830691497</v>
      </c>
      <c r="D538" s="102">
        <f t="shared" si="218"/>
        <v>105.56274917880906</v>
      </c>
      <c r="E538" s="103">
        <f t="shared" si="219"/>
        <v>1.5613231464846695</v>
      </c>
      <c r="F538" s="101">
        <f t="shared" si="220"/>
        <v>5989.1071787036999</v>
      </c>
      <c r="G538" s="104">
        <f t="shared" si="221"/>
        <v>1.5706293569987637</v>
      </c>
      <c r="H538" s="113">
        <f t="shared" si="222"/>
        <v>7.5528765006701439</v>
      </c>
      <c r="I538" s="114">
        <f t="shared" si="223"/>
        <v>1.4380065331497194</v>
      </c>
      <c r="J538" s="101">
        <f t="shared" si="224"/>
        <v>1.0012446907820813</v>
      </c>
      <c r="K538" s="104">
        <f t="shared" si="225"/>
        <v>4.9867847475325126E-2</v>
      </c>
      <c r="L538" s="102">
        <f t="shared" si="226"/>
        <v>1</v>
      </c>
      <c r="M538" s="103">
        <f t="shared" si="227"/>
        <v>2.6202343541582253E-9</v>
      </c>
      <c r="N538" s="101">
        <f t="shared" si="228"/>
        <v>1</v>
      </c>
      <c r="O538" s="104">
        <f t="shared" si="229"/>
        <v>4.1923749666531604E-10</v>
      </c>
      <c r="P538" s="105">
        <f t="shared" ca="1" si="230"/>
        <v>4.581136627591837</v>
      </c>
      <c r="Q538" s="106">
        <f t="shared" ca="1" si="231"/>
        <v>1.4901525503088282</v>
      </c>
      <c r="R538" s="107">
        <f t="shared" ca="1" si="232"/>
        <v>-30.748007998274311</v>
      </c>
      <c r="S538" s="108">
        <f t="shared" ca="1" si="233"/>
        <v>-96.364104574482312</v>
      </c>
      <c r="T538" s="116">
        <f t="shared" ca="1" si="234"/>
        <v>83.635895425517688</v>
      </c>
      <c r="V538" s="72">
        <f t="shared" ca="1" si="235"/>
        <v>79433</v>
      </c>
      <c r="W538" s="72">
        <f t="shared" si="236"/>
        <v>6309601489</v>
      </c>
      <c r="Y538" s="110">
        <f t="shared" si="237"/>
        <v>6.086601096307672</v>
      </c>
      <c r="Z538" s="111">
        <f t="shared" si="238"/>
        <v>-10.455945153235284</v>
      </c>
      <c r="AA538" s="72">
        <f t="shared" si="239"/>
        <v>169.54405484676471</v>
      </c>
      <c r="AB538" s="110">
        <f t="shared" ca="1" si="240"/>
        <v>-20.917008747700478</v>
      </c>
      <c r="AC538" s="111">
        <f t="shared" ca="1" si="241"/>
        <v>-85.908159421247049</v>
      </c>
      <c r="AD538" s="72">
        <f t="shared" ca="1" si="242"/>
        <v>94.091840578752951</v>
      </c>
    </row>
    <row r="539" spans="1:30">
      <c r="A539" s="118">
        <v>79895.5</v>
      </c>
      <c r="B539" s="101">
        <f t="shared" ca="1" si="216"/>
        <v>4097.1017988254098</v>
      </c>
      <c r="C539" s="102">
        <f t="shared" ca="1" si="217"/>
        <v>1.5705522518221402</v>
      </c>
      <c r="D539" s="102">
        <f t="shared" si="218"/>
        <v>106.17733509265983</v>
      </c>
      <c r="E539" s="103">
        <f t="shared" si="219"/>
        <v>1.5613779816887174</v>
      </c>
      <c r="F539" s="101">
        <f t="shared" si="220"/>
        <v>6023.9788566354209</v>
      </c>
      <c r="G539" s="104">
        <f t="shared" si="221"/>
        <v>1.5706303235554444</v>
      </c>
      <c r="H539" s="113">
        <f t="shared" si="222"/>
        <v>7.5960845449718564</v>
      </c>
      <c r="I539" s="114">
        <f t="shared" si="223"/>
        <v>1.4387663006853166</v>
      </c>
      <c r="J539" s="101">
        <f t="shared" si="224"/>
        <v>1.0012592183049493</v>
      </c>
      <c r="K539" s="104">
        <f t="shared" si="225"/>
        <v>5.015771853441503E-2</v>
      </c>
      <c r="L539" s="102">
        <f t="shared" si="226"/>
        <v>1</v>
      </c>
      <c r="M539" s="103">
        <f t="shared" si="227"/>
        <v>2.6354907134647879E-9</v>
      </c>
      <c r="N539" s="101">
        <f t="shared" si="228"/>
        <v>1</v>
      </c>
      <c r="O539" s="104">
        <f t="shared" si="229"/>
        <v>4.2167851415436601E-10</v>
      </c>
      <c r="P539" s="105">
        <f t="shared" ca="1" si="230"/>
        <v>4.6070534310644078</v>
      </c>
      <c r="Q539" s="106">
        <f t="shared" ca="1" si="231"/>
        <v>1.4922117317006596</v>
      </c>
      <c r="R539" s="107">
        <f t="shared" ca="1" si="232"/>
        <v>-30.798017564140423</v>
      </c>
      <c r="S539" s="108">
        <f t="shared" ca="1" si="233"/>
        <v>-96.452158870586302</v>
      </c>
      <c r="T539" s="116">
        <f t="shared" ca="1" si="234"/>
        <v>83.547841129413698</v>
      </c>
      <c r="V539" s="72">
        <f t="shared" ca="1" si="235"/>
        <v>79895.5</v>
      </c>
      <c r="W539" s="72">
        <f t="shared" si="236"/>
        <v>6383290920.25</v>
      </c>
      <c r="Y539" s="110">
        <f t="shared" si="237"/>
        <v>6.0855961212529941</v>
      </c>
      <c r="Z539" s="111">
        <f t="shared" si="238"/>
        <v>-10.429077447176834</v>
      </c>
      <c r="AA539" s="72">
        <f t="shared" si="239"/>
        <v>169.57092255282316</v>
      </c>
      <c r="AB539" s="110">
        <f t="shared" ca="1" si="240"/>
        <v>-20.966013338511914</v>
      </c>
      <c r="AC539" s="111">
        <f t="shared" ca="1" si="241"/>
        <v>-86.023081423409479</v>
      </c>
      <c r="AD539" s="72">
        <f t="shared" ca="1" si="242"/>
        <v>93.976918576590521</v>
      </c>
    </row>
    <row r="540" spans="1:30">
      <c r="A540" s="118">
        <v>80358</v>
      </c>
      <c r="B540" s="101">
        <f t="shared" ca="1" si="216"/>
        <v>4120.8191479802053</v>
      </c>
      <c r="C540" s="102">
        <f t="shared" ca="1" si="217"/>
        <v>1.570553656594166</v>
      </c>
      <c r="D540" s="102">
        <f t="shared" si="218"/>
        <v>106.79192132210045</v>
      </c>
      <c r="E540" s="103">
        <f t="shared" si="219"/>
        <v>1.5614321857410405</v>
      </c>
      <c r="F540" s="101">
        <f t="shared" si="220"/>
        <v>6058.8505345727062</v>
      </c>
      <c r="G540" s="104">
        <f t="shared" si="221"/>
        <v>1.5706312789861028</v>
      </c>
      <c r="H540" s="113">
        <f t="shared" si="222"/>
        <v>7.6392969244856674</v>
      </c>
      <c r="I540" s="114">
        <f t="shared" si="223"/>
        <v>1.4395174732617839</v>
      </c>
      <c r="J540" s="101">
        <f t="shared" si="224"/>
        <v>1.001273829956409</v>
      </c>
      <c r="K540" s="104">
        <f t="shared" si="225"/>
        <v>5.0447581157647227E-2</v>
      </c>
      <c r="L540" s="102">
        <f t="shared" si="226"/>
        <v>1</v>
      </c>
      <c r="M540" s="103">
        <f t="shared" si="227"/>
        <v>2.6507470727713501E-9</v>
      </c>
      <c r="N540" s="101">
        <f t="shared" si="228"/>
        <v>1</v>
      </c>
      <c r="O540" s="104">
        <f t="shared" si="229"/>
        <v>4.2411953164341603E-10</v>
      </c>
      <c r="P540" s="105">
        <f t="shared" ca="1" si="230"/>
        <v>4.6329862794448893</v>
      </c>
      <c r="Q540" s="106">
        <f t="shared" ca="1" si="231"/>
        <v>1.4942570734921474</v>
      </c>
      <c r="R540" s="107">
        <f t="shared" ca="1" si="232"/>
        <v>-30.847768025769678</v>
      </c>
      <c r="S540" s="108">
        <f t="shared" ca="1" si="233"/>
        <v>-96.539946775120583</v>
      </c>
      <c r="T540" s="116">
        <f t="shared" ca="1" si="234"/>
        <v>83.460053224879417</v>
      </c>
      <c r="V540" s="72">
        <f t="shared" ca="1" si="235"/>
        <v>80358</v>
      </c>
      <c r="W540" s="72">
        <f t="shared" si="236"/>
        <v>6457408164</v>
      </c>
      <c r="Y540" s="110">
        <f t="shared" si="237"/>
        <v>6.0846053775016387</v>
      </c>
      <c r="Z540" s="111">
        <f t="shared" si="238"/>
        <v>-10.402701075189023</v>
      </c>
      <c r="AA540" s="72">
        <f t="shared" si="239"/>
        <v>169.59729892481099</v>
      </c>
      <c r="AB540" s="110">
        <f t="shared" ca="1" si="240"/>
        <v>-21.014773056389814</v>
      </c>
      <c r="AC540" s="111">
        <f t="shared" ca="1" si="241"/>
        <v>-86.137245699931569</v>
      </c>
      <c r="AD540" s="72">
        <f t="shared" ca="1" si="242"/>
        <v>93.862754300068431</v>
      </c>
    </row>
    <row r="541" spans="1:30">
      <c r="A541" s="118">
        <v>80820.5</v>
      </c>
      <c r="B541" s="101">
        <f t="shared" ca="1" si="216"/>
        <v>4144.536497143039</v>
      </c>
      <c r="C541" s="102">
        <f t="shared" ca="1" si="217"/>
        <v>1.5705550452884141</v>
      </c>
      <c r="D541" s="102">
        <f t="shared" si="218"/>
        <v>107.40650786171348</v>
      </c>
      <c r="E541" s="103">
        <f t="shared" si="219"/>
        <v>1.5614857694757824</v>
      </c>
      <c r="F541" s="101">
        <f t="shared" si="220"/>
        <v>6093.7222125154585</v>
      </c>
      <c r="G541" s="104">
        <f t="shared" si="221"/>
        <v>1.5706322234817469</v>
      </c>
      <c r="H541" s="113">
        <f t="shared" si="222"/>
        <v>7.6825135660578523</v>
      </c>
      <c r="I541" s="114">
        <f t="shared" si="223"/>
        <v>1.4402601950725089</v>
      </c>
      <c r="J541" s="101">
        <f t="shared" si="224"/>
        <v>1.001288525732777</v>
      </c>
      <c r="K541" s="104">
        <f t="shared" si="225"/>
        <v>5.0737435296683377E-2</v>
      </c>
      <c r="L541" s="102">
        <f t="shared" si="226"/>
        <v>1</v>
      </c>
      <c r="M541" s="103">
        <f t="shared" si="227"/>
        <v>2.6660034320779127E-9</v>
      </c>
      <c r="N541" s="101">
        <f t="shared" si="228"/>
        <v>1</v>
      </c>
      <c r="O541" s="104">
        <f t="shared" si="229"/>
        <v>4.2656054913246605E-10</v>
      </c>
      <c r="P541" s="105">
        <f t="shared" ca="1" si="230"/>
        <v>4.6589351089800894</v>
      </c>
      <c r="Q541" s="106">
        <f t="shared" ca="1" si="231"/>
        <v>1.4962887941833065</v>
      </c>
      <c r="R541" s="107">
        <f t="shared" ca="1" si="232"/>
        <v>-30.897262167052084</v>
      </c>
      <c r="S541" s="108">
        <f t="shared" ca="1" si="233"/>
        <v>-96.627471949055774</v>
      </c>
      <c r="T541" s="116">
        <f t="shared" ca="1" si="234"/>
        <v>83.372528050944226</v>
      </c>
      <c r="V541" s="72">
        <f t="shared" ca="1" si="235"/>
        <v>80820.5</v>
      </c>
      <c r="W541" s="72">
        <f t="shared" si="236"/>
        <v>6531953220.25</v>
      </c>
      <c r="Y541" s="110">
        <f t="shared" si="237"/>
        <v>6.0836285285147245</v>
      </c>
      <c r="Z541" s="111">
        <f t="shared" si="238"/>
        <v>-10.376807783773664</v>
      </c>
      <c r="AA541" s="72">
        <f t="shared" si="239"/>
        <v>169.62319221622633</v>
      </c>
      <c r="AB541" s="110">
        <f t="shared" ca="1" si="240"/>
        <v>-21.0632903486853</v>
      </c>
      <c r="AC541" s="111">
        <f t="shared" ca="1" si="241"/>
        <v>-86.25066416528216</v>
      </c>
      <c r="AD541" s="72">
        <f t="shared" ca="1" si="242"/>
        <v>93.74933583471784</v>
      </c>
    </row>
    <row r="542" spans="1:30">
      <c r="A542" s="118">
        <v>81283</v>
      </c>
      <c r="B542" s="101">
        <f t="shared" ca="1" si="216"/>
        <v>4168.2538463137753</v>
      </c>
      <c r="C542" s="102">
        <f t="shared" ca="1" si="217"/>
        <v>1.5705564181793317</v>
      </c>
      <c r="D542" s="102">
        <f t="shared" si="218"/>
        <v>108.02109470620472</v>
      </c>
      <c r="E542" s="103">
        <f t="shared" si="219"/>
        <v>1.5615387434805377</v>
      </c>
      <c r="F542" s="101">
        <f t="shared" si="220"/>
        <v>6128.5938904635841</v>
      </c>
      <c r="G542" s="104">
        <f t="shared" si="221"/>
        <v>1.5706331572290368</v>
      </c>
      <c r="H542" s="113">
        <f t="shared" si="222"/>
        <v>7.7257343981643958</v>
      </c>
      <c r="I542" s="114">
        <f t="shared" si="223"/>
        <v>1.4409946071219526</v>
      </c>
      <c r="J542" s="101">
        <f t="shared" si="224"/>
        <v>1.0013033056303497</v>
      </c>
      <c r="K542" s="104">
        <f t="shared" si="225"/>
        <v>5.1027280903193681E-2</v>
      </c>
      <c r="L542" s="102">
        <f t="shared" si="226"/>
        <v>1</v>
      </c>
      <c r="M542" s="103">
        <f t="shared" si="227"/>
        <v>2.6812597913844754E-9</v>
      </c>
      <c r="N542" s="101">
        <f t="shared" si="228"/>
        <v>1</v>
      </c>
      <c r="O542" s="104">
        <f t="shared" si="229"/>
        <v>4.2900156662151601E-10</v>
      </c>
      <c r="P542" s="105">
        <f t="shared" ca="1" si="230"/>
        <v>4.6848998583373032</v>
      </c>
      <c r="Q542" s="106">
        <f t="shared" ca="1" si="231"/>
        <v>1.4983071076741177</v>
      </c>
      <c r="R542" s="107">
        <f t="shared" ca="1" si="232"/>
        <v>-30.946502729339489</v>
      </c>
      <c r="S542" s="108">
        <f t="shared" ca="1" si="233"/>
        <v>-96.714737986023621</v>
      </c>
      <c r="T542" s="116">
        <f t="shared" ca="1" si="234"/>
        <v>83.285262013976379</v>
      </c>
      <c r="V542" s="72">
        <f t="shared" ca="1" si="235"/>
        <v>81283</v>
      </c>
      <c r="W542" s="72">
        <f t="shared" si="236"/>
        <v>6606926089</v>
      </c>
      <c r="Y542" s="110">
        <f t="shared" si="237"/>
        <v>6.082665247142053</v>
      </c>
      <c r="Z542" s="111">
        <f t="shared" si="238"/>
        <v>-10.351389501895966</v>
      </c>
      <c r="AA542" s="72">
        <f t="shared" si="239"/>
        <v>169.64861049810403</v>
      </c>
      <c r="AB542" s="110">
        <f t="shared" ca="1" si="240"/>
        <v>-21.111567629600035</v>
      </c>
      <c r="AC542" s="111">
        <f t="shared" ca="1" si="241"/>
        <v>-86.363348484127641</v>
      </c>
      <c r="AD542" s="72">
        <f t="shared" ca="1" si="242"/>
        <v>93.636651515872359</v>
      </c>
    </row>
    <row r="543" spans="1:30">
      <c r="A543" s="118">
        <v>81756.25</v>
      </c>
      <c r="B543" s="101">
        <f t="shared" ca="1" si="216"/>
        <v>4192.5224636084104</v>
      </c>
      <c r="C543" s="102">
        <f t="shared" ca="1" si="217"/>
        <v>1.5705578069018817</v>
      </c>
      <c r="D543" s="102">
        <f t="shared" si="218"/>
        <v>108.64996685240968</v>
      </c>
      <c r="E543" s="103">
        <f t="shared" si="219"/>
        <v>1.5615923284132958</v>
      </c>
      <c r="F543" s="101">
        <f t="shared" si="220"/>
        <v>6164.2760993100264</v>
      </c>
      <c r="G543" s="104">
        <f t="shared" si="221"/>
        <v>1.5706341017439294</v>
      </c>
      <c r="H543" s="113">
        <f t="shared" si="222"/>
        <v>7.7699640874054277</v>
      </c>
      <c r="I543" s="114">
        <f t="shared" si="223"/>
        <v>1.4417376314001364</v>
      </c>
      <c r="J543" s="101">
        <f t="shared" si="224"/>
        <v>1.0013185161335931</v>
      </c>
      <c r="K543" s="104">
        <f t="shared" si="225"/>
        <v>5.1323854578916583E-2</v>
      </c>
      <c r="L543" s="102">
        <f t="shared" si="226"/>
        <v>1</v>
      </c>
      <c r="M543" s="103">
        <f t="shared" si="227"/>
        <v>2.6968707579614064E-9</v>
      </c>
      <c r="N543" s="101">
        <f t="shared" si="228"/>
        <v>1</v>
      </c>
      <c r="O543" s="104">
        <f t="shared" si="229"/>
        <v>4.3149932127382503E-10</v>
      </c>
      <c r="P543" s="105">
        <f t="shared" ca="1" si="230"/>
        <v>4.7114845303363975</v>
      </c>
      <c r="Q543" s="106">
        <f t="shared" ca="1" si="231"/>
        <v>1.5003586734826677</v>
      </c>
      <c r="R543" s="107">
        <f t="shared" ca="1" si="232"/>
        <v>-30.996628129410496</v>
      </c>
      <c r="S543" s="108">
        <f t="shared" ca="1" si="233"/>
        <v>-96.803767806480778</v>
      </c>
      <c r="T543" s="116">
        <f t="shared" ca="1" si="234"/>
        <v>83.196232193519222</v>
      </c>
      <c r="V543" s="72">
        <f t="shared" ca="1" si="235"/>
        <v>81756.25</v>
      </c>
      <c r="W543" s="72">
        <f t="shared" si="236"/>
        <v>6684084414.0625</v>
      </c>
      <c r="Y543" s="110">
        <f t="shared" si="237"/>
        <v>6.0816932885523309</v>
      </c>
      <c r="Z543" s="111">
        <f t="shared" si="238"/>
        <v>-10.325863882550411</v>
      </c>
      <c r="AA543" s="72">
        <f t="shared" si="239"/>
        <v>169.67413611744959</v>
      </c>
      <c r="AB543" s="110">
        <f t="shared" ca="1" si="240"/>
        <v>-21.160721071081319</v>
      </c>
      <c r="AC543" s="111">
        <f t="shared" ca="1" si="241"/>
        <v>-86.477903923930313</v>
      </c>
      <c r="AD543" s="72">
        <f t="shared" ca="1" si="242"/>
        <v>93.522096076069687</v>
      </c>
    </row>
    <row r="544" spans="1:30">
      <c r="A544" s="118">
        <v>82229.5</v>
      </c>
      <c r="B544" s="101">
        <f t="shared" ca="1" si="216"/>
        <v>4216.7910809110381</v>
      </c>
      <c r="C544" s="102">
        <f t="shared" ca="1" si="217"/>
        <v>1.570559179639587</v>
      </c>
      <c r="D544" s="102">
        <f t="shared" si="218"/>
        <v>109.27883930699555</v>
      </c>
      <c r="E544" s="103">
        <f t="shared" si="219"/>
        <v>1.5616452966103678</v>
      </c>
      <c r="F544" s="101">
        <f t="shared" si="220"/>
        <v>6199.9583081619057</v>
      </c>
      <c r="G544" s="104">
        <f t="shared" si="221"/>
        <v>1.5706350353870142</v>
      </c>
      <c r="H544" s="113">
        <f t="shared" si="222"/>
        <v>7.8141980177656656</v>
      </c>
      <c r="I544" s="114">
        <f t="shared" si="223"/>
        <v>1.4424722439860591</v>
      </c>
      <c r="J544" s="101">
        <f t="shared" si="224"/>
        <v>1.0013338147060729</v>
      </c>
      <c r="K544" s="104">
        <f t="shared" si="225"/>
        <v>5.1620419218503015E-2</v>
      </c>
      <c r="L544" s="102">
        <f t="shared" si="226"/>
        <v>1</v>
      </c>
      <c r="M544" s="103">
        <f t="shared" si="227"/>
        <v>2.7124817245383379E-9</v>
      </c>
      <c r="N544" s="101">
        <f t="shared" si="228"/>
        <v>1</v>
      </c>
      <c r="O544" s="104">
        <f t="shared" si="229"/>
        <v>4.33997075926134E-10</v>
      </c>
      <c r="P544" s="105">
        <f t="shared" ca="1" si="230"/>
        <v>4.7380857483730727</v>
      </c>
      <c r="Q544" s="106">
        <f t="shared" ca="1" si="231"/>
        <v>1.5023966404717111</v>
      </c>
      <c r="R544" s="107">
        <f t="shared" ca="1" si="232"/>
        <v>-31.046493699945877</v>
      </c>
      <c r="S544" s="108">
        <f t="shared" ca="1" si="233"/>
        <v>-96.89253370628515</v>
      </c>
      <c r="T544" s="116">
        <f t="shared" ca="1" si="234"/>
        <v>83.10746629371485</v>
      </c>
      <c r="V544" s="72">
        <f t="shared" ca="1" si="235"/>
        <v>82229.5</v>
      </c>
      <c r="W544" s="72">
        <f t="shared" si="236"/>
        <v>6761690670.25</v>
      </c>
      <c r="Y544" s="110">
        <f t="shared" si="237"/>
        <v>6.0807348713600264</v>
      </c>
      <c r="Z544" s="111">
        <f t="shared" si="238"/>
        <v>-10.300819077029356</v>
      </c>
      <c r="AA544" s="72">
        <f t="shared" si="239"/>
        <v>169.69918092297064</v>
      </c>
      <c r="AB544" s="110">
        <f t="shared" ca="1" si="240"/>
        <v>-21.209628224424399</v>
      </c>
      <c r="AC544" s="111">
        <f t="shared" ca="1" si="241"/>
        <v>-86.59171462925579</v>
      </c>
      <c r="AD544" s="72">
        <f t="shared" ca="1" si="242"/>
        <v>93.40828537074421</v>
      </c>
    </row>
    <row r="545" spans="1:30">
      <c r="A545" s="118">
        <v>82702.75</v>
      </c>
      <c r="B545" s="101">
        <f t="shared" ca="1" si="216"/>
        <v>4241.059698221522</v>
      </c>
      <c r="C545" s="102">
        <f t="shared" ca="1" si="217"/>
        <v>1.5705605366668574</v>
      </c>
      <c r="D545" s="102">
        <f t="shared" si="218"/>
        <v>109.90771206466884</v>
      </c>
      <c r="E545" s="103">
        <f t="shared" si="219"/>
        <v>1.561697658658016</v>
      </c>
      <c r="F545" s="101">
        <f t="shared" si="220"/>
        <v>6235.6405170191265</v>
      </c>
      <c r="G545" s="104">
        <f t="shared" si="221"/>
        <v>1.5706359583449263</v>
      </c>
      <c r="H545" s="113">
        <f t="shared" si="222"/>
        <v>7.8584361176272841</v>
      </c>
      <c r="I545" s="114">
        <f t="shared" si="223"/>
        <v>1.4431985861378365</v>
      </c>
      <c r="J545" s="101">
        <f t="shared" si="224"/>
        <v>1.0013492013437522</v>
      </c>
      <c r="K545" s="104">
        <f t="shared" si="225"/>
        <v>5.1916974770202282E-2</v>
      </c>
      <c r="L545" s="102">
        <f t="shared" si="226"/>
        <v>1</v>
      </c>
      <c r="M545" s="103">
        <f t="shared" si="227"/>
        <v>2.728092691115269E-9</v>
      </c>
      <c r="N545" s="101">
        <f t="shared" si="228"/>
        <v>1</v>
      </c>
      <c r="O545" s="104">
        <f t="shared" si="229"/>
        <v>4.3649483057844303E-10</v>
      </c>
      <c r="P545" s="105">
        <f t="shared" ca="1" si="230"/>
        <v>4.7647034541925981</v>
      </c>
      <c r="Q545" s="106">
        <f t="shared" ca="1" si="231"/>
        <v>1.5044212236066627</v>
      </c>
      <c r="R545" s="107">
        <f t="shared" ca="1" si="232"/>
        <v>-31.096102245036406</v>
      </c>
      <c r="S545" s="108">
        <f t="shared" ca="1" si="233"/>
        <v>-96.981039325456649</v>
      </c>
      <c r="T545" s="116">
        <f t="shared" ca="1" si="234"/>
        <v>83.018960674543351</v>
      </c>
      <c r="V545" s="72">
        <f t="shared" ca="1" si="235"/>
        <v>82702.75</v>
      </c>
      <c r="W545" s="72">
        <f t="shared" si="236"/>
        <v>6839744857.5625</v>
      </c>
      <c r="Y545" s="110">
        <f t="shared" si="237"/>
        <v>6.0797896736021091</v>
      </c>
      <c r="Z545" s="111">
        <f t="shared" si="238"/>
        <v>-10.276246999567228</v>
      </c>
      <c r="AA545" s="72">
        <f t="shared" si="239"/>
        <v>169.72375300043277</v>
      </c>
      <c r="AB545" s="110">
        <f t="shared" ca="1" si="240"/>
        <v>-21.25829157175701</v>
      </c>
      <c r="AC545" s="111">
        <f t="shared" ca="1" si="241"/>
        <v>-86.704792325889443</v>
      </c>
      <c r="AD545" s="72">
        <f t="shared" ca="1" si="242"/>
        <v>93.295207674110557</v>
      </c>
    </row>
    <row r="546" spans="1:30">
      <c r="A546" s="118">
        <v>83176</v>
      </c>
      <c r="B546" s="101">
        <f t="shared" ca="1" si="216"/>
        <v>4265.3283155397248</v>
      </c>
      <c r="C546" s="102">
        <f t="shared" ca="1" si="217"/>
        <v>1.5705618782518578</v>
      </c>
      <c r="D546" s="102">
        <f t="shared" si="218"/>
        <v>110.53658512025648</v>
      </c>
      <c r="E546" s="103">
        <f t="shared" si="219"/>
        <v>1.5617494249016037</v>
      </c>
      <c r="F546" s="101">
        <f t="shared" si="220"/>
        <v>6271.3227258815996</v>
      </c>
      <c r="G546" s="104">
        <f t="shared" si="221"/>
        <v>1.5706368708000535</v>
      </c>
      <c r="H546" s="113">
        <f t="shared" si="222"/>
        <v>7.9026783169694079</v>
      </c>
      <c r="I546" s="114">
        <f t="shared" si="223"/>
        <v>1.443916795985672</v>
      </c>
      <c r="J546" s="101">
        <f t="shared" si="224"/>
        <v>1.0013646760425716</v>
      </c>
      <c r="K546" s="104">
        <f t="shared" si="225"/>
        <v>5.2213521182273244E-2</v>
      </c>
      <c r="L546" s="102">
        <f t="shared" si="226"/>
        <v>1</v>
      </c>
      <c r="M546" s="103">
        <f t="shared" si="227"/>
        <v>2.7437036576922001E-9</v>
      </c>
      <c r="N546" s="101">
        <f t="shared" si="228"/>
        <v>1</v>
      </c>
      <c r="O546" s="104">
        <f t="shared" si="229"/>
        <v>4.3899258523075205E-10</v>
      </c>
      <c r="P546" s="105">
        <f t="shared" ca="1" si="230"/>
        <v>4.7913375919204162</v>
      </c>
      <c r="Q546" s="106">
        <f t="shared" ca="1" si="231"/>
        <v>1.5064326333091917</v>
      </c>
      <c r="R546" s="107">
        <f t="shared" ca="1" si="232"/>
        <v>-31.145456525727013</v>
      </c>
      <c r="S546" s="108">
        <f t="shared" ca="1" si="233"/>
        <v>-97.069288236095858</v>
      </c>
      <c r="T546" s="116">
        <f t="shared" ca="1" si="234"/>
        <v>82.930711763904142</v>
      </c>
      <c r="V546" s="72">
        <f t="shared" ca="1" si="235"/>
        <v>83176</v>
      </c>
      <c r="W546" s="72">
        <f t="shared" si="236"/>
        <v>6918246976</v>
      </c>
      <c r="Y546" s="110">
        <f t="shared" si="237"/>
        <v>6.0788573823042693</v>
      </c>
      <c r="Z546" s="111">
        <f t="shared" si="238"/>
        <v>-10.252139743371837</v>
      </c>
      <c r="AA546" s="72">
        <f t="shared" si="239"/>
        <v>169.74786025662817</v>
      </c>
      <c r="AB546" s="110">
        <f t="shared" ca="1" si="240"/>
        <v>-21.306713561149778</v>
      </c>
      <c r="AC546" s="111">
        <f t="shared" ca="1" si="241"/>
        <v>-86.817148492723973</v>
      </c>
      <c r="AD546" s="72">
        <f t="shared" ca="1" si="242"/>
        <v>93.182851507276027</v>
      </c>
    </row>
    <row r="547" spans="1:30">
      <c r="A547" s="118">
        <v>83660.5</v>
      </c>
      <c r="B547" s="101">
        <f t="shared" ca="1" si="216"/>
        <v>4290.1738413598841</v>
      </c>
      <c r="C547" s="102">
        <f t="shared" ca="1" si="217"/>
        <v>1.5705632360050981</v>
      </c>
      <c r="D547" s="102">
        <f t="shared" si="218"/>
        <v>111.18040791790946</v>
      </c>
      <c r="E547" s="103">
        <f t="shared" si="219"/>
        <v>1.5618018150603665</v>
      </c>
      <c r="F547" s="101">
        <f t="shared" si="220"/>
        <v>6307.8531647540722</v>
      </c>
      <c r="G547" s="104">
        <f t="shared" si="221"/>
        <v>1.5706377942517207</v>
      </c>
      <c r="H547" s="113">
        <f t="shared" si="222"/>
        <v>7.9479764079546102</v>
      </c>
      <c r="I547" s="114">
        <f t="shared" si="223"/>
        <v>1.4446437954203484</v>
      </c>
      <c r="J547" s="101">
        <f t="shared" si="224"/>
        <v>1.0013806098245095</v>
      </c>
      <c r="K547" s="104">
        <f t="shared" si="225"/>
        <v>5.2517107511492835E-2</v>
      </c>
      <c r="L547" s="102">
        <f t="shared" si="226"/>
        <v>1</v>
      </c>
      <c r="M547" s="103">
        <f t="shared" si="227"/>
        <v>2.7596857249009128E-9</v>
      </c>
      <c r="N547" s="101">
        <f t="shared" si="228"/>
        <v>1</v>
      </c>
      <c r="O547" s="104">
        <f t="shared" si="229"/>
        <v>4.41549715984146E-10</v>
      </c>
      <c r="P547" s="105">
        <f t="shared" ca="1" si="230"/>
        <v>4.8186218373649057</v>
      </c>
      <c r="Q547" s="106">
        <f t="shared" ca="1" si="231"/>
        <v>1.5084784259960571</v>
      </c>
      <c r="R547" s="107">
        <f t="shared" ca="1" si="232"/>
        <v>-31.195723481960425</v>
      </c>
      <c r="S547" s="108">
        <f t="shared" ca="1" si="233"/>
        <v>-97.159372706640767</v>
      </c>
      <c r="T547" s="116">
        <f t="shared" ca="1" si="234"/>
        <v>82.840627293359233</v>
      </c>
      <c r="V547" s="72">
        <f t="shared" ca="1" si="235"/>
        <v>83660.5</v>
      </c>
      <c r="W547" s="72">
        <f t="shared" si="236"/>
        <v>6999079260.25</v>
      </c>
      <c r="Y547" s="110">
        <f t="shared" si="237"/>
        <v>6.07791598142851</v>
      </c>
      <c r="Z547" s="111">
        <f t="shared" si="238"/>
        <v>-10.227932868524887</v>
      </c>
      <c r="AA547" s="72">
        <f t="shared" si="239"/>
        <v>169.77206713147513</v>
      </c>
      <c r="AB547" s="110">
        <f t="shared" ca="1" si="240"/>
        <v>-21.356039116507425</v>
      </c>
      <c r="AC547" s="111">
        <f t="shared" ca="1" si="241"/>
        <v>-86.93143983811585</v>
      </c>
      <c r="AD547" s="72">
        <f t="shared" ca="1" si="242"/>
        <v>93.06856016188415</v>
      </c>
    </row>
    <row r="548" spans="1:30">
      <c r="A548" s="118">
        <v>84145</v>
      </c>
      <c r="B548" s="101">
        <f t="shared" ca="1" si="216"/>
        <v>4315.0193671878615</v>
      </c>
      <c r="C548" s="102">
        <f t="shared" ca="1" si="217"/>
        <v>1.5705645781226762</v>
      </c>
      <c r="D548" s="102">
        <f t="shared" si="218"/>
        <v>111.82423101720863</v>
      </c>
      <c r="E548" s="103">
        <f t="shared" si="219"/>
        <v>1.561853601951193</v>
      </c>
      <c r="F548" s="101">
        <f t="shared" si="220"/>
        <v>6344.3836036318644</v>
      </c>
      <c r="G548" s="104">
        <f t="shared" si="221"/>
        <v>1.5706387070690704</v>
      </c>
      <c r="H548" s="113">
        <f t="shared" si="222"/>
        <v>7.993278652056758</v>
      </c>
      <c r="I548" s="114">
        <f t="shared" si="223"/>
        <v>1.4453625546313738</v>
      </c>
      <c r="J548" s="101">
        <f t="shared" si="224"/>
        <v>1.0013966358954083</v>
      </c>
      <c r="K548" s="104">
        <f t="shared" si="225"/>
        <v>5.2820684151669788E-2</v>
      </c>
      <c r="L548" s="102">
        <f t="shared" si="226"/>
        <v>1</v>
      </c>
      <c r="M548" s="103">
        <f t="shared" si="227"/>
        <v>2.7756677921096254E-9</v>
      </c>
      <c r="N548" s="101">
        <f t="shared" si="228"/>
        <v>1</v>
      </c>
      <c r="O548" s="104">
        <f t="shared" si="229"/>
        <v>4.4410684673754001E-10</v>
      </c>
      <c r="P548" s="105">
        <f t="shared" ca="1" si="230"/>
        <v>4.8459231940875691</v>
      </c>
      <c r="Q548" s="106">
        <f t="shared" ca="1" si="231"/>
        <v>1.5105108437361183</v>
      </c>
      <c r="R548" s="107">
        <f t="shared" ca="1" si="232"/>
        <v>-31.245729663444507</v>
      </c>
      <c r="S548" s="108">
        <f t="shared" ca="1" si="233"/>
        <v>-97.249195483626195</v>
      </c>
      <c r="T548" s="116">
        <f t="shared" ca="1" si="234"/>
        <v>82.750804516373805</v>
      </c>
      <c r="V548" s="72">
        <f t="shared" ca="1" si="235"/>
        <v>84145</v>
      </c>
      <c r="W548" s="72">
        <f t="shared" si="236"/>
        <v>7080381025</v>
      </c>
      <c r="Y548" s="110">
        <f t="shared" si="237"/>
        <v>6.0769874716540002</v>
      </c>
      <c r="Z548" s="111">
        <f t="shared" si="238"/>
        <v>-10.204196959273187</v>
      </c>
      <c r="AA548" s="72">
        <f t="shared" si="239"/>
        <v>169.79580304072681</v>
      </c>
      <c r="AB548" s="110">
        <f t="shared" ca="1" si="240"/>
        <v>-21.405116788217001</v>
      </c>
      <c r="AC548" s="111">
        <f t="shared" ca="1" si="241"/>
        <v>-87.044998524352991</v>
      </c>
      <c r="AD548" s="72">
        <f t="shared" ca="1" si="242"/>
        <v>92.955001475647009</v>
      </c>
    </row>
    <row r="549" spans="1:30">
      <c r="A549" s="118">
        <v>84629.5</v>
      </c>
      <c r="B549" s="101">
        <f t="shared" ca="1" si="216"/>
        <v>4339.8648930235231</v>
      </c>
      <c r="C549" s="102">
        <f t="shared" ca="1" si="217"/>
        <v>1.570565904873132</v>
      </c>
      <c r="D549" s="102">
        <f t="shared" si="218"/>
        <v>112.46805441297364</v>
      </c>
      <c r="E549" s="103">
        <f t="shared" si="219"/>
        <v>1.561904795934026</v>
      </c>
      <c r="F549" s="101">
        <f t="shared" si="220"/>
        <v>6380.9140425148817</v>
      </c>
      <c r="G549" s="104">
        <f t="shared" si="221"/>
        <v>1.5706396094347457</v>
      </c>
      <c r="H549" s="113">
        <f t="shared" si="222"/>
        <v>8.0385849790599408</v>
      </c>
      <c r="I549" s="114">
        <f t="shared" si="223"/>
        <v>1.4460732121981077</v>
      </c>
      <c r="J549" s="101">
        <f t="shared" si="224"/>
        <v>1.0014127542508371</v>
      </c>
      <c r="K549" s="104">
        <f t="shared" si="225"/>
        <v>5.3124251047316128E-2</v>
      </c>
      <c r="L549" s="102">
        <f t="shared" si="226"/>
        <v>1</v>
      </c>
      <c r="M549" s="103">
        <f t="shared" si="227"/>
        <v>2.7916498593183376E-9</v>
      </c>
      <c r="N549" s="101">
        <f t="shared" si="228"/>
        <v>1</v>
      </c>
      <c r="O549" s="104">
        <f t="shared" si="229"/>
        <v>4.4666397749093402E-10</v>
      </c>
      <c r="P549" s="105">
        <f t="shared" ca="1" si="230"/>
        <v>4.8732416094754711</v>
      </c>
      <c r="Q549" s="106">
        <f t="shared" ca="1" si="231"/>
        <v>1.5125300982696563</v>
      </c>
      <c r="R549" s="107">
        <f t="shared" ca="1" si="232"/>
        <v>-31.295477898153415</v>
      </c>
      <c r="S549" s="108">
        <f t="shared" ca="1" si="233"/>
        <v>-97.338760187954776</v>
      </c>
      <c r="T549" s="116">
        <f t="shared" ca="1" si="234"/>
        <v>82.661239812045224</v>
      </c>
      <c r="V549" s="72">
        <f t="shared" ca="1" si="235"/>
        <v>84629.5</v>
      </c>
      <c r="W549" s="72">
        <f t="shared" si="236"/>
        <v>7162152270.25</v>
      </c>
      <c r="Y549" s="110">
        <f t="shared" si="237"/>
        <v>6.076071544517414</v>
      </c>
      <c r="Z549" s="111">
        <f t="shared" si="238"/>
        <v>-10.180924082889714</v>
      </c>
      <c r="AA549" s="72">
        <f t="shared" si="239"/>
        <v>169.8190759171103</v>
      </c>
      <c r="AB549" s="110">
        <f t="shared" ca="1" si="240"/>
        <v>-21.453949095789326</v>
      </c>
      <c r="AC549" s="111">
        <f t="shared" ca="1" si="241"/>
        <v>-87.15783610506513</v>
      </c>
      <c r="AD549" s="72">
        <f t="shared" ca="1" si="242"/>
        <v>92.84216389493487</v>
      </c>
    </row>
    <row r="550" spans="1:30">
      <c r="A550" s="118">
        <v>85114</v>
      </c>
      <c r="B550" s="101">
        <f t="shared" ca="1" si="216"/>
        <v>4364.7104188667363</v>
      </c>
      <c r="C550" s="102">
        <f t="shared" ca="1" si="217"/>
        <v>1.5705672165188915</v>
      </c>
      <c r="D550" s="102">
        <f t="shared" si="218"/>
        <v>113.11187810014212</v>
      </c>
      <c r="E550" s="103">
        <f t="shared" si="219"/>
        <v>1.5619554071329476</v>
      </c>
      <c r="F550" s="101">
        <f t="shared" si="220"/>
        <v>6417.4444814030348</v>
      </c>
      <c r="G550" s="104">
        <f t="shared" si="221"/>
        <v>1.5706405015272304</v>
      </c>
      <c r="H550" s="113">
        <f t="shared" si="222"/>
        <v>8.083895320316099</v>
      </c>
      <c r="I550" s="114">
        <f t="shared" si="223"/>
        <v>1.4467759036261081</v>
      </c>
      <c r="J550" s="101">
        <f t="shared" si="224"/>
        <v>1.0014289648863397</v>
      </c>
      <c r="K550" s="104">
        <f t="shared" si="225"/>
        <v>5.3427808142954614E-2</v>
      </c>
      <c r="L550" s="102">
        <f t="shared" si="226"/>
        <v>1</v>
      </c>
      <c r="M550" s="103">
        <f t="shared" si="227"/>
        <v>2.8076319265270502E-9</v>
      </c>
      <c r="N550" s="101">
        <f t="shared" si="228"/>
        <v>1</v>
      </c>
      <c r="O550" s="104">
        <f t="shared" si="229"/>
        <v>4.4922110824432803E-10</v>
      </c>
      <c r="P550" s="105">
        <f t="shared" ca="1" si="230"/>
        <v>4.9005770332596459</v>
      </c>
      <c r="Q550" s="106">
        <f t="shared" ca="1" si="231"/>
        <v>1.5145363968418077</v>
      </c>
      <c r="R550" s="107">
        <f t="shared" ca="1" si="232"/>
        <v>-31.344970970430225</v>
      </c>
      <c r="S550" s="108">
        <f t="shared" ca="1" si="233"/>
        <v>-97.428070372018183</v>
      </c>
      <c r="T550" s="116">
        <f t="shared" ca="1" si="234"/>
        <v>82.571929627981817</v>
      </c>
      <c r="V550" s="72">
        <f t="shared" ca="1" si="235"/>
        <v>85114</v>
      </c>
      <c r="W550" s="72">
        <f t="shared" si="236"/>
        <v>7244392996</v>
      </c>
      <c r="Y550" s="110">
        <f t="shared" si="237"/>
        <v>6.075167900177771</v>
      </c>
      <c r="Z550" s="111">
        <f t="shared" si="238"/>
        <v>-10.158106482525644</v>
      </c>
      <c r="AA550" s="72">
        <f t="shared" si="239"/>
        <v>169.84189351747435</v>
      </c>
      <c r="AB550" s="110">
        <f t="shared" ca="1" si="240"/>
        <v>-21.502538523726493</v>
      </c>
      <c r="AC550" s="111">
        <f t="shared" ca="1" si="241"/>
        <v>-87.269963889492573</v>
      </c>
      <c r="AD550" s="72">
        <f t="shared" ca="1" si="242"/>
        <v>92.730036110507427</v>
      </c>
    </row>
    <row r="551" spans="1:30">
      <c r="A551" s="118">
        <v>85609.5</v>
      </c>
      <c r="B551" s="101">
        <f t="shared" ca="1" si="216"/>
        <v>4390.1200330236661</v>
      </c>
      <c r="C551" s="102">
        <f t="shared" ca="1" si="217"/>
        <v>1.570568542588286</v>
      </c>
      <c r="D551" s="102">
        <f t="shared" si="218"/>
        <v>113.77031933961297</v>
      </c>
      <c r="E551" s="103">
        <f t="shared" si="219"/>
        <v>1.5620065749286483</v>
      </c>
      <c r="F551" s="101">
        <f t="shared" si="220"/>
        <v>6454.8043007458837</v>
      </c>
      <c r="G551" s="104">
        <f t="shared" si="221"/>
        <v>1.5706414034296934</v>
      </c>
      <c r="H551" s="113">
        <f t="shared" si="222"/>
        <v>8.13023846138287</v>
      </c>
      <c r="I551" s="114">
        <f t="shared" si="223"/>
        <v>1.4474864474312845</v>
      </c>
      <c r="J551" s="101">
        <f t="shared" si="224"/>
        <v>1.0014456390070186</v>
      </c>
      <c r="K551" s="104">
        <f t="shared" si="225"/>
        <v>5.3738246949673434E-2</v>
      </c>
      <c r="L551" s="102">
        <f t="shared" si="226"/>
        <v>1</v>
      </c>
      <c r="M551" s="103">
        <f t="shared" si="227"/>
        <v>2.8239768476868376E-9</v>
      </c>
      <c r="N551" s="101">
        <f t="shared" si="228"/>
        <v>1</v>
      </c>
      <c r="O551" s="104">
        <f t="shared" si="229"/>
        <v>4.51836295629894E-10</v>
      </c>
      <c r="P551" s="105">
        <f t="shared" ca="1" si="230"/>
        <v>4.9285506175563354</v>
      </c>
      <c r="Q551" s="106">
        <f t="shared" ca="1" si="231"/>
        <v>1.516575056916911</v>
      </c>
      <c r="R551" s="107">
        <f t="shared" ca="1" si="232"/>
        <v>-31.395326663358457</v>
      </c>
      <c r="S551" s="108">
        <f t="shared" ca="1" si="233"/>
        <v>-97.519148616370785</v>
      </c>
      <c r="T551" s="116">
        <f t="shared" ca="1" si="234"/>
        <v>82.480851383629215</v>
      </c>
      <c r="V551" s="72">
        <f t="shared" ca="1" si="235"/>
        <v>85609.5</v>
      </c>
      <c r="W551" s="72">
        <f t="shared" si="236"/>
        <v>7328986490.25</v>
      </c>
      <c r="Y551" s="110">
        <f t="shared" si="237"/>
        <v>6.0742561401815678</v>
      </c>
      <c r="Z551" s="111">
        <f t="shared" si="238"/>
        <v>-10.135233829143802</v>
      </c>
      <c r="AA551" s="72">
        <f t="shared" si="239"/>
        <v>169.8647661708562</v>
      </c>
      <c r="AB551" s="110">
        <f t="shared" ca="1" si="240"/>
        <v>-21.551982456658514</v>
      </c>
      <c r="AC551" s="111">
        <f t="shared" ca="1" si="241"/>
        <v>-87.383914787227013</v>
      </c>
      <c r="AD551" s="72">
        <f t="shared" ca="1" si="242"/>
        <v>92.616085212772987</v>
      </c>
    </row>
    <row r="552" spans="1:30">
      <c r="A552" s="118">
        <v>86105</v>
      </c>
      <c r="B552" s="101">
        <f t="shared" ca="1" si="216"/>
        <v>4415.5296471882257</v>
      </c>
      <c r="C552" s="102">
        <f t="shared" ca="1" si="217"/>
        <v>1.5705698533956782</v>
      </c>
      <c r="D552" s="102">
        <f t="shared" si="218"/>
        <v>114.42876087352285</v>
      </c>
      <c r="E552" s="103">
        <f t="shared" si="219"/>
        <v>1.5620571538689925</v>
      </c>
      <c r="F552" s="101">
        <f t="shared" si="220"/>
        <v>6492.1641200939221</v>
      </c>
      <c r="G552" s="104">
        <f t="shared" si="221"/>
        <v>1.5706422949519772</v>
      </c>
      <c r="H552" s="113">
        <f t="shared" si="222"/>
        <v>8.1765856606527407</v>
      </c>
      <c r="I552" s="114">
        <f t="shared" si="223"/>
        <v>1.4481889364614295</v>
      </c>
      <c r="J552" s="101">
        <f t="shared" si="224"/>
        <v>1.0014624096360503</v>
      </c>
      <c r="K552" s="104">
        <f t="shared" si="225"/>
        <v>5.4048675389005089E-2</v>
      </c>
      <c r="L552" s="102">
        <f t="shared" si="226"/>
        <v>1</v>
      </c>
      <c r="M552" s="103">
        <f t="shared" si="227"/>
        <v>2.8403217688466255E-9</v>
      </c>
      <c r="N552" s="101">
        <f t="shared" si="228"/>
        <v>1</v>
      </c>
      <c r="O552" s="104">
        <f t="shared" si="229"/>
        <v>4.5445148301546003E-10</v>
      </c>
      <c r="P552" s="105">
        <f t="shared" ca="1" si="230"/>
        <v>4.9565418922132185</v>
      </c>
      <c r="Q552" s="106">
        <f t="shared" ca="1" si="231"/>
        <v>1.5186005906038542</v>
      </c>
      <c r="R552" s="107">
        <f t="shared" ca="1" si="232"/>
        <v>-31.445421230574194</v>
      </c>
      <c r="S552" s="108">
        <f t="shared" ca="1" si="233"/>
        <v>-97.609967954425926</v>
      </c>
      <c r="T552" s="116">
        <f t="shared" ca="1" si="234"/>
        <v>82.390032045574074</v>
      </c>
      <c r="V552" s="72">
        <f t="shared" ca="1" si="235"/>
        <v>86105</v>
      </c>
      <c r="W552" s="72">
        <f t="shared" si="236"/>
        <v>7414071025</v>
      </c>
      <c r="Y552" s="110">
        <f t="shared" si="237"/>
        <v>6.0733566190878605</v>
      </c>
      <c r="Z552" s="111">
        <f t="shared" si="238"/>
        <v>-10.112821491628727</v>
      </c>
      <c r="AA552" s="72">
        <f t="shared" si="239"/>
        <v>169.88717850837128</v>
      </c>
      <c r="AB552" s="110">
        <f t="shared" ca="1" si="240"/>
        <v>-21.601177502780548</v>
      </c>
      <c r="AC552" s="111">
        <f t="shared" ca="1" si="241"/>
        <v>-87.49714646279719</v>
      </c>
      <c r="AD552" s="72">
        <f t="shared" ca="1" si="242"/>
        <v>92.50285353720281</v>
      </c>
    </row>
    <row r="553" spans="1:30">
      <c r="A553" s="118">
        <v>86600.5</v>
      </c>
      <c r="B553" s="101">
        <f t="shared" ca="1" si="216"/>
        <v>4440.9392613602859</v>
      </c>
      <c r="C553" s="102">
        <f t="shared" ca="1" si="217"/>
        <v>1.5705711492030408</v>
      </c>
      <c r="D553" s="102">
        <f t="shared" si="218"/>
        <v>115.08720269681811</v>
      </c>
      <c r="E553" s="103">
        <f t="shared" si="219"/>
        <v>1.5621071540606726</v>
      </c>
      <c r="F553" s="101">
        <f t="shared" si="220"/>
        <v>6529.5239394470627</v>
      </c>
      <c r="G553" s="104">
        <f t="shared" si="221"/>
        <v>1.5706431762722577</v>
      </c>
      <c r="H553" s="113">
        <f t="shared" si="222"/>
        <v>8.2229368495055759</v>
      </c>
      <c r="I553" s="114">
        <f t="shared" si="223"/>
        <v>1.4488835062271448</v>
      </c>
      <c r="J553" s="101">
        <f t="shared" si="224"/>
        <v>1.0014792767685867</v>
      </c>
      <c r="K553" s="104">
        <f t="shared" si="225"/>
        <v>5.4359093401642564E-2</v>
      </c>
      <c r="L553" s="102">
        <f t="shared" si="226"/>
        <v>1</v>
      </c>
      <c r="M553" s="103">
        <f t="shared" si="227"/>
        <v>2.8566666900064129E-9</v>
      </c>
      <c r="N553" s="101">
        <f t="shared" si="228"/>
        <v>1</v>
      </c>
      <c r="O553" s="104">
        <f t="shared" si="229"/>
        <v>4.5706667040102601E-10</v>
      </c>
      <c r="P553" s="105">
        <f t="shared" ca="1" si="230"/>
        <v>4.9845508106606777</v>
      </c>
      <c r="Q553" s="106">
        <f t="shared" ca="1" si="231"/>
        <v>1.5206132057434756</v>
      </c>
      <c r="R553" s="107">
        <f t="shared" ca="1" si="232"/>
        <v>-31.495257514405811</v>
      </c>
      <c r="S553" s="108">
        <f t="shared" ca="1" si="233"/>
        <v>-97.700531973150575</v>
      </c>
      <c r="T553" s="116">
        <f t="shared" ca="1" si="234"/>
        <v>82.299468026849425</v>
      </c>
      <c r="V553" s="72">
        <f t="shared" ca="1" si="235"/>
        <v>86600.5</v>
      </c>
      <c r="W553" s="72">
        <f t="shared" si="236"/>
        <v>7499646600.25</v>
      </c>
      <c r="Y553" s="110">
        <f t="shared" si="237"/>
        <v>6.0724690423186845</v>
      </c>
      <c r="Z553" s="111">
        <f t="shared" si="238"/>
        <v>-10.09086171260553</v>
      </c>
      <c r="AA553" s="72">
        <f t="shared" si="239"/>
        <v>169.90913828739446</v>
      </c>
      <c r="AB553" s="110">
        <f t="shared" ca="1" si="240"/>
        <v>-21.650126209842991</v>
      </c>
      <c r="AC553" s="111">
        <f t="shared" ca="1" si="241"/>
        <v>-87.60967026054503</v>
      </c>
      <c r="AD553" s="72">
        <f t="shared" ca="1" si="242"/>
        <v>92.39032973945497</v>
      </c>
    </row>
    <row r="554" spans="1:30">
      <c r="A554" s="118">
        <v>87096</v>
      </c>
      <c r="B554" s="101">
        <f t="shared" ca="1" si="216"/>
        <v>4466.3488755397184</v>
      </c>
      <c r="C554" s="102">
        <f t="shared" ca="1" si="217"/>
        <v>1.570572430266385</v>
      </c>
      <c r="D554" s="102">
        <f t="shared" si="218"/>
        <v>115.7456448045601</v>
      </c>
      <c r="E554" s="103">
        <f t="shared" si="219"/>
        <v>1.5621565853804169</v>
      </c>
      <c r="F554" s="101">
        <f t="shared" si="220"/>
        <v>6566.8837588052165</v>
      </c>
      <c r="G554" s="104">
        <f t="shared" si="221"/>
        <v>1.5706440475646568</v>
      </c>
      <c r="H554" s="113">
        <f t="shared" si="222"/>
        <v>8.2692919608539217</v>
      </c>
      <c r="I554" s="114">
        <f t="shared" si="223"/>
        <v>1.4495702892314666</v>
      </c>
      <c r="J554" s="101">
        <f t="shared" si="224"/>
        <v>1.0014962403997518</v>
      </c>
      <c r="K554" s="104">
        <f t="shared" si="225"/>
        <v>5.4669500928290822E-2</v>
      </c>
      <c r="L554" s="102">
        <f t="shared" si="226"/>
        <v>1</v>
      </c>
      <c r="M554" s="103">
        <f t="shared" si="227"/>
        <v>2.8730116111662003E-9</v>
      </c>
      <c r="N554" s="101">
        <f t="shared" si="228"/>
        <v>1</v>
      </c>
      <c r="O554" s="104">
        <f t="shared" si="229"/>
        <v>4.5968185778659204E-10</v>
      </c>
      <c r="P554" s="105">
        <f t="shared" ca="1" si="230"/>
        <v>5.012577328626425</v>
      </c>
      <c r="Q554" s="106">
        <f t="shared" ca="1" si="231"/>
        <v>1.5226131057501131</v>
      </c>
      <c r="R554" s="107">
        <f t="shared" ca="1" si="232"/>
        <v>-31.54483831315919</v>
      </c>
      <c r="S554" s="108">
        <f t="shared" ca="1" si="233"/>
        <v>-97.790844190815676</v>
      </c>
      <c r="T554" s="116">
        <f t="shared" ca="1" si="234"/>
        <v>82.209155809184324</v>
      </c>
      <c r="V554" s="72">
        <f t="shared" ca="1" si="235"/>
        <v>87096</v>
      </c>
      <c r="W554" s="72">
        <f t="shared" si="236"/>
        <v>7585713216</v>
      </c>
      <c r="Y554" s="110">
        <f t="shared" si="237"/>
        <v>6.0715931235316498</v>
      </c>
      <c r="Z554" s="111">
        <f t="shared" si="238"/>
        <v>-10.069346906788583</v>
      </c>
      <c r="AA554" s="72">
        <f t="shared" si="239"/>
        <v>169.93065309321142</v>
      </c>
      <c r="AB554" s="110">
        <f t="shared" ca="1" si="240"/>
        <v>-21.698831089809339</v>
      </c>
      <c r="AC554" s="111">
        <f t="shared" ca="1" si="241"/>
        <v>-87.721497284027123</v>
      </c>
      <c r="AD554" s="72">
        <f t="shared" ca="1" si="242"/>
        <v>92.278502715972877</v>
      </c>
    </row>
    <row r="555" spans="1:30">
      <c r="A555" s="118">
        <v>87603.25</v>
      </c>
      <c r="B555" s="101">
        <f t="shared" ca="1" si="216"/>
        <v>4492.3610385997299</v>
      </c>
      <c r="C555" s="102">
        <f t="shared" ca="1" si="217"/>
        <v>1.5705737266967152</v>
      </c>
      <c r="D555" s="102">
        <f t="shared" si="218"/>
        <v>116.41970111667256</v>
      </c>
      <c r="E555" s="103">
        <f t="shared" si="219"/>
        <v>1.5622066096961531</v>
      </c>
      <c r="F555" s="101">
        <f t="shared" si="220"/>
        <v>6605.1295072854437</v>
      </c>
      <c r="G555" s="104">
        <f t="shared" si="221"/>
        <v>1.5706449293086373</v>
      </c>
      <c r="H555" s="113">
        <f t="shared" si="222"/>
        <v>8.316750305108366</v>
      </c>
      <c r="I555" s="114">
        <f t="shared" si="223"/>
        <v>1.450265427550121</v>
      </c>
      <c r="J555" s="101">
        <f t="shared" si="224"/>
        <v>1.0015137062497508</v>
      </c>
      <c r="K555" s="104">
        <f t="shared" si="225"/>
        <v>5.4987258355414848E-2</v>
      </c>
      <c r="L555" s="102">
        <f t="shared" si="226"/>
        <v>1</v>
      </c>
      <c r="M555" s="103">
        <f t="shared" si="227"/>
        <v>2.8897441263191815E-9</v>
      </c>
      <c r="N555" s="101">
        <f t="shared" si="228"/>
        <v>1</v>
      </c>
      <c r="O555" s="104">
        <f t="shared" si="229"/>
        <v>4.6235906021106903E-10</v>
      </c>
      <c r="P555" s="105">
        <f t="shared" ca="1" si="230"/>
        <v>5.0412866378146939</v>
      </c>
      <c r="Q555" s="106">
        <f t="shared" ca="1" si="231"/>
        <v>1.5246474670850381</v>
      </c>
      <c r="R555" s="107">
        <f t="shared" ca="1" si="232"/>
        <v>-31.595333073944193</v>
      </c>
      <c r="S555" s="108">
        <f t="shared" ca="1" si="233"/>
        <v>-97.883040794288306</v>
      </c>
      <c r="T555" s="116">
        <f t="shared" ca="1" si="234"/>
        <v>82.116959205711694</v>
      </c>
      <c r="V555" s="72">
        <f t="shared" ca="1" si="235"/>
        <v>87603.25</v>
      </c>
      <c r="W555" s="72">
        <f t="shared" si="236"/>
        <v>7674329410.5625</v>
      </c>
      <c r="Y555" s="110">
        <f t="shared" si="237"/>
        <v>6.070708219057245</v>
      </c>
      <c r="Z555" s="111">
        <f t="shared" si="238"/>
        <v>-10.047775093813735</v>
      </c>
      <c r="AA555" s="72">
        <f t="shared" si="239"/>
        <v>169.95222490618627</v>
      </c>
      <c r="AB555" s="110">
        <f t="shared" ca="1" si="240"/>
        <v>-21.748440946119931</v>
      </c>
      <c r="AC555" s="111">
        <f t="shared" ca="1" si="241"/>
        <v>-87.835265700474565</v>
      </c>
      <c r="AD555" s="72">
        <f t="shared" ca="1" si="242"/>
        <v>92.164734299525435</v>
      </c>
    </row>
    <row r="556" spans="1:30">
      <c r="A556" s="118">
        <v>88110.5</v>
      </c>
      <c r="B556" s="101">
        <f t="shared" ca="1" si="216"/>
        <v>4518.3732016672056</v>
      </c>
      <c r="C556" s="102">
        <f t="shared" ca="1" si="217"/>
        <v>1.5705750082000105</v>
      </c>
      <c r="D556" s="102">
        <f t="shared" si="218"/>
        <v>117.09375771676326</v>
      </c>
      <c r="E556" s="103">
        <f t="shared" si="219"/>
        <v>1.5622560580766103</v>
      </c>
      <c r="F556" s="101">
        <f t="shared" si="220"/>
        <v>6643.3752557707485</v>
      </c>
      <c r="G556" s="104">
        <f t="shared" si="221"/>
        <v>1.5706458009002608</v>
      </c>
      <c r="H556" s="113">
        <f t="shared" si="222"/>
        <v>8.364212622554037</v>
      </c>
      <c r="I556" s="114">
        <f t="shared" si="223"/>
        <v>1.4509526771406185</v>
      </c>
      <c r="J556" s="101">
        <f t="shared" si="224"/>
        <v>1.0015312732188377</v>
      </c>
      <c r="K556" s="104">
        <f t="shared" si="225"/>
        <v>5.530500466762002E-2</v>
      </c>
      <c r="L556" s="102">
        <f t="shared" si="226"/>
        <v>1</v>
      </c>
      <c r="M556" s="103">
        <f t="shared" si="227"/>
        <v>2.9064766414721627E-9</v>
      </c>
      <c r="N556" s="101">
        <f t="shared" si="228"/>
        <v>1</v>
      </c>
      <c r="O556" s="104">
        <f t="shared" si="229"/>
        <v>4.6503626263554603E-10</v>
      </c>
      <c r="P556" s="105">
        <f t="shared" ca="1" si="230"/>
        <v>5.0700143043227941</v>
      </c>
      <c r="Q556" s="106">
        <f t="shared" ca="1" si="231"/>
        <v>1.526668920785283</v>
      </c>
      <c r="R556" s="107">
        <f t="shared" ca="1" si="232"/>
        <v>-31.645565886303299</v>
      </c>
      <c r="S556" s="108">
        <f t="shared" ca="1" si="233"/>
        <v>-97.97498076047853</v>
      </c>
      <c r="T556" s="116">
        <f t="shared" ca="1" si="234"/>
        <v>82.02501923952147</v>
      </c>
      <c r="V556" s="72">
        <f t="shared" ca="1" si="235"/>
        <v>88110.5</v>
      </c>
      <c r="W556" s="72">
        <f t="shared" si="236"/>
        <v>7763460210.25</v>
      </c>
      <c r="Y556" s="110">
        <f t="shared" si="237"/>
        <v>6.0698349500093496</v>
      </c>
      <c r="Z556" s="111">
        <f t="shared" si="238"/>
        <v>-10.02665405314338</v>
      </c>
      <c r="AA556" s="72">
        <f t="shared" si="239"/>
        <v>169.97334594685663</v>
      </c>
      <c r="AB556" s="110">
        <f t="shared" ca="1" si="240"/>
        <v>-21.797800489431147</v>
      </c>
      <c r="AC556" s="111">
        <f t="shared" ca="1" si="241"/>
        <v>-87.948326707335212</v>
      </c>
      <c r="AD556" s="72">
        <f t="shared" ca="1" si="242"/>
        <v>92.051673292664788</v>
      </c>
    </row>
    <row r="557" spans="1:30">
      <c r="A557" s="118">
        <v>88617.75</v>
      </c>
      <c r="B557" s="101">
        <f t="shared" ca="1" si="216"/>
        <v>4544.3853647420165</v>
      </c>
      <c r="C557" s="102">
        <f t="shared" ca="1" si="217"/>
        <v>1.5705762750325991</v>
      </c>
      <c r="D557" s="102">
        <f t="shared" si="218"/>
        <v>117.76781459988742</v>
      </c>
      <c r="E557" s="103">
        <f t="shared" si="219"/>
        <v>1.5623049404108291</v>
      </c>
      <c r="F557" s="101">
        <f t="shared" si="220"/>
        <v>6681.6210042610419</v>
      </c>
      <c r="G557" s="104">
        <f t="shared" si="221"/>
        <v>1.5706466625138642</v>
      </c>
      <c r="H557" s="113">
        <f t="shared" si="222"/>
        <v>8.4116788459355654</v>
      </c>
      <c r="I557" s="114">
        <f t="shared" si="223"/>
        <v>1.4516321708940108</v>
      </c>
      <c r="J557" s="101">
        <f t="shared" si="224"/>
        <v>1.0015489413016923</v>
      </c>
      <c r="K557" s="104">
        <f t="shared" si="225"/>
        <v>5.5622739801331832E-2</v>
      </c>
      <c r="L557" s="102">
        <f t="shared" si="226"/>
        <v>1</v>
      </c>
      <c r="M557" s="103">
        <f t="shared" si="227"/>
        <v>2.9232091566251439E-9</v>
      </c>
      <c r="N557" s="101">
        <f t="shared" si="228"/>
        <v>1</v>
      </c>
      <c r="O557" s="104">
        <f t="shared" si="229"/>
        <v>4.6771346506002297E-10</v>
      </c>
      <c r="P557" s="105">
        <f t="shared" ca="1" si="230"/>
        <v>5.0987602877342546</v>
      </c>
      <c r="Q557" s="106">
        <f t="shared" ca="1" si="231"/>
        <v>1.5286776714061387</v>
      </c>
      <c r="R557" s="107">
        <f t="shared" ca="1" si="232"/>
        <v>-31.695539614704913</v>
      </c>
      <c r="S557" s="108">
        <f t="shared" ca="1" si="233"/>
        <v>-98.066667649877445</v>
      </c>
      <c r="T557" s="116">
        <f t="shared" ca="1" si="234"/>
        <v>81.933332350122555</v>
      </c>
      <c r="V557" s="72">
        <f t="shared" ca="1" si="235"/>
        <v>88617.75</v>
      </c>
      <c r="W557" s="72">
        <f t="shared" si="236"/>
        <v>7853105615.0625</v>
      </c>
      <c r="Y557" s="110">
        <f t="shared" si="237"/>
        <v>6.0689730342533963</v>
      </c>
      <c r="Z557" s="111">
        <f t="shared" si="238"/>
        <v>-10.005976177027311</v>
      </c>
      <c r="AA557" s="72">
        <f t="shared" si="239"/>
        <v>169.99402382297268</v>
      </c>
      <c r="AB557" s="110">
        <f t="shared" ca="1" si="240"/>
        <v>-21.846912302076802</v>
      </c>
      <c r="AC557" s="111">
        <f t="shared" ca="1" si="241"/>
        <v>-88.06069147285011</v>
      </c>
      <c r="AD557" s="72">
        <f t="shared" ca="1" si="242"/>
        <v>91.93930852714989</v>
      </c>
    </row>
    <row r="558" spans="1:30">
      <c r="A558" s="118">
        <v>89125</v>
      </c>
      <c r="B558" s="101">
        <f t="shared" ca="1" si="216"/>
        <v>4570.3975278240378</v>
      </c>
      <c r="C558" s="102">
        <f t="shared" ca="1" si="217"/>
        <v>1.5705775274449734</v>
      </c>
      <c r="D558" s="102">
        <f t="shared" si="218"/>
        <v>118.44187176121275</v>
      </c>
      <c r="E558" s="103">
        <f t="shared" si="219"/>
        <v>1.5623532663627451</v>
      </c>
      <c r="F558" s="101">
        <f t="shared" si="220"/>
        <v>6719.8667527562384</v>
      </c>
      <c r="G558" s="104">
        <f t="shared" si="221"/>
        <v>1.5706475143198158</v>
      </c>
      <c r="H558" s="113">
        <f t="shared" si="222"/>
        <v>8.4591489095016481</v>
      </c>
      <c r="I558" s="114">
        <f t="shared" si="223"/>
        <v>1.452304038747398</v>
      </c>
      <c r="J558" s="101">
        <f t="shared" si="224"/>
        <v>1.0015667104929629</v>
      </c>
      <c r="K558" s="104">
        <f t="shared" si="225"/>
        <v>5.5940463692989273E-2</v>
      </c>
      <c r="L558" s="102">
        <f t="shared" si="226"/>
        <v>1</v>
      </c>
      <c r="M558" s="103">
        <f t="shared" si="227"/>
        <v>2.9399416717781251E-9</v>
      </c>
      <c r="N558" s="101">
        <f t="shared" si="228"/>
        <v>1</v>
      </c>
      <c r="O558" s="104">
        <f t="shared" si="229"/>
        <v>4.7039066748450007E-10</v>
      </c>
      <c r="P558" s="105">
        <f t="shared" ca="1" si="230"/>
        <v>5.1275245498917457</v>
      </c>
      <c r="Q558" s="106">
        <f t="shared" ca="1" si="231"/>
        <v>1.5306739191286745</v>
      </c>
      <c r="R558" s="107">
        <f t="shared" ca="1" si="232"/>
        <v>-31.745257079041767</v>
      </c>
      <c r="S558" s="108">
        <f t="shared" ca="1" si="233"/>
        <v>-98.158104953936885</v>
      </c>
      <c r="T558" s="116">
        <f t="shared" ca="1" si="234"/>
        <v>81.841895046063115</v>
      </c>
      <c r="V558" s="72">
        <f t="shared" ca="1" si="235"/>
        <v>89125</v>
      </c>
      <c r="W558" s="72">
        <f t="shared" si="236"/>
        <v>7943265625</v>
      </c>
      <c r="Y558" s="110">
        <f t="shared" si="237"/>
        <v>6.0681221975513191</v>
      </c>
      <c r="Z558" s="111">
        <f t="shared" si="238"/>
        <v>-9.9857340267377026</v>
      </c>
      <c r="AA558" s="72">
        <f t="shared" si="239"/>
        <v>170.0142659732623</v>
      </c>
      <c r="AB558" s="110">
        <f t="shared" ca="1" si="240"/>
        <v>-21.895778929711582</v>
      </c>
      <c r="AC558" s="111">
        <f t="shared" ca="1" si="241"/>
        <v>-88.172370927199125</v>
      </c>
      <c r="AD558" s="72">
        <f t="shared" ca="1" si="242"/>
        <v>91.827629072800875</v>
      </c>
    </row>
    <row r="559" spans="1:30">
      <c r="A559" s="118">
        <v>89644</v>
      </c>
      <c r="B559" s="101">
        <f t="shared" ca="1" si="216"/>
        <v>4597.0122397871519</v>
      </c>
      <c r="C559" s="102">
        <f t="shared" ca="1" si="217"/>
        <v>1.5705787941985656</v>
      </c>
      <c r="D559" s="102">
        <f t="shared" si="218"/>
        <v>119.13154314669954</v>
      </c>
      <c r="E559" s="103">
        <f t="shared" si="219"/>
        <v>1.5624021457292006</v>
      </c>
      <c r="F559" s="101">
        <f t="shared" si="220"/>
        <v>6758.9984303738593</v>
      </c>
      <c r="G559" s="104">
        <f t="shared" si="221"/>
        <v>1.5706483758796908</v>
      </c>
      <c r="H559" s="113">
        <f t="shared" si="222"/>
        <v>8.5077224829302409</v>
      </c>
      <c r="I559" s="114">
        <f t="shared" si="223"/>
        <v>1.4529837094236602</v>
      </c>
      <c r="J559" s="101">
        <f t="shared" si="224"/>
        <v>1.0015849959349776</v>
      </c>
      <c r="K559" s="104">
        <f t="shared" si="225"/>
        <v>5.6265535677112163E-2</v>
      </c>
      <c r="L559" s="102">
        <f t="shared" si="226"/>
        <v>1</v>
      </c>
      <c r="M559" s="103">
        <f t="shared" si="227"/>
        <v>2.9570617809243005E-9</v>
      </c>
      <c r="N559" s="101">
        <f t="shared" si="228"/>
        <v>1</v>
      </c>
      <c r="O559" s="104">
        <f t="shared" si="229"/>
        <v>4.7312988494788804E-10</v>
      </c>
      <c r="P559" s="105">
        <f t="shared" ca="1" si="230"/>
        <v>5.1569739921502196</v>
      </c>
      <c r="Q559" s="106">
        <f t="shared" ca="1" si="231"/>
        <v>1.5327036718143077</v>
      </c>
      <c r="R559" s="107">
        <f t="shared" ca="1" si="232"/>
        <v>-31.795863863035223</v>
      </c>
      <c r="S559" s="108">
        <f t="shared" ca="1" si="233"/>
        <v>-98.251405569057155</v>
      </c>
      <c r="T559" s="116">
        <f t="shared" ca="1" si="234"/>
        <v>81.748594430942845</v>
      </c>
      <c r="V559" s="72">
        <f t="shared" ca="1" si="235"/>
        <v>89644</v>
      </c>
      <c r="W559" s="72">
        <f t="shared" si="236"/>
        <v>8036046736</v>
      </c>
      <c r="Y559" s="110">
        <f t="shared" si="237"/>
        <v>6.0672628409212379</v>
      </c>
      <c r="Z559" s="111">
        <f t="shared" si="238"/>
        <v>-9.9654663811547906</v>
      </c>
      <c r="AA559" s="72">
        <f t="shared" si="239"/>
        <v>170.03453361884522</v>
      </c>
      <c r="AB559" s="110">
        <f t="shared" ca="1" si="240"/>
        <v>-21.945526357074954</v>
      </c>
      <c r="AC559" s="111">
        <f t="shared" ca="1" si="241"/>
        <v>-88.285939187902372</v>
      </c>
      <c r="AD559" s="72">
        <f t="shared" ca="1" si="242"/>
        <v>91.714060812097628</v>
      </c>
    </row>
    <row r="560" spans="1:30">
      <c r="A560" s="118">
        <v>90163</v>
      </c>
      <c r="B560" s="101">
        <f t="shared" ca="1" si="216"/>
        <v>4623.6269517575574</v>
      </c>
      <c r="C560" s="102">
        <f t="shared" ca="1" si="217"/>
        <v>1.5705800463686792</v>
      </c>
      <c r="D560" s="102">
        <f t="shared" si="218"/>
        <v>119.82121481353796</v>
      </c>
      <c r="E560" s="103">
        <f t="shared" si="219"/>
        <v>1.5624504624122058</v>
      </c>
      <c r="F560" s="101">
        <f t="shared" si="220"/>
        <v>6798.1301079964378</v>
      </c>
      <c r="G560" s="104">
        <f t="shared" si="221"/>
        <v>1.5706492275208728</v>
      </c>
      <c r="H560" s="113">
        <f t="shared" si="222"/>
        <v>8.5562999418965831</v>
      </c>
      <c r="I560" s="114">
        <f t="shared" si="223"/>
        <v>1.4536556628952506</v>
      </c>
      <c r="J560" s="101">
        <f t="shared" si="224"/>
        <v>1.0016033872124057</v>
      </c>
      <c r="K560" s="104">
        <f t="shared" si="225"/>
        <v>5.6590595757746567E-2</v>
      </c>
      <c r="L560" s="102">
        <f t="shared" si="226"/>
        <v>1</v>
      </c>
      <c r="M560" s="103">
        <f t="shared" si="227"/>
        <v>2.9741818900704755E-9</v>
      </c>
      <c r="N560" s="101">
        <f t="shared" si="228"/>
        <v>1</v>
      </c>
      <c r="O560" s="104">
        <f t="shared" si="229"/>
        <v>4.75869102411276E-10</v>
      </c>
      <c r="P560" s="105">
        <f t="shared" ca="1" si="230"/>
        <v>5.186442495947067</v>
      </c>
      <c r="Q560" s="106">
        <f t="shared" ca="1" si="231"/>
        <v>1.534720746099921</v>
      </c>
      <c r="R560" s="107">
        <f t="shared" ca="1" si="232"/>
        <v>-31.846208206615426</v>
      </c>
      <c r="S560" s="108">
        <f t="shared" ca="1" si="233"/>
        <v>-98.344452082118607</v>
      </c>
      <c r="T560" s="116">
        <f t="shared" ca="1" si="234"/>
        <v>81.655547917881393</v>
      </c>
      <c r="V560" s="72">
        <f t="shared" ca="1" si="235"/>
        <v>90163</v>
      </c>
      <c r="W560" s="72">
        <f t="shared" si="236"/>
        <v>8129366569</v>
      </c>
      <c r="Y560" s="110">
        <f t="shared" si="237"/>
        <v>6.0664145259240074</v>
      </c>
      <c r="Z560" s="111">
        <f t="shared" si="238"/>
        <v>-9.9456396485107934</v>
      </c>
      <c r="AA560" s="72">
        <f t="shared" si="239"/>
        <v>170.05436035148921</v>
      </c>
      <c r="AB560" s="110">
        <f t="shared" ca="1" si="240"/>
        <v>-21.995022385657922</v>
      </c>
      <c r="AC560" s="111">
        <f t="shared" ca="1" si="241"/>
        <v>-88.39881243360783</v>
      </c>
      <c r="AD560" s="72">
        <f t="shared" ca="1" si="242"/>
        <v>91.60118756639217</v>
      </c>
    </row>
    <row r="561" spans="1:30">
      <c r="A561" s="118">
        <v>90682</v>
      </c>
      <c r="B561" s="101">
        <f t="shared" ca="1" si="216"/>
        <v>4650.2416637351298</v>
      </c>
      <c r="C561" s="102">
        <f t="shared" ca="1" si="217"/>
        <v>1.5705812842057112</v>
      </c>
      <c r="D561" s="102">
        <f t="shared" si="218"/>
        <v>120.51088675689759</v>
      </c>
      <c r="E561" s="103">
        <f t="shared" si="219"/>
        <v>1.562498226072079</v>
      </c>
      <c r="F561" s="101">
        <f t="shared" si="220"/>
        <v>6837.2617856238921</v>
      </c>
      <c r="G561" s="104">
        <f t="shared" si="221"/>
        <v>1.5706500694136643</v>
      </c>
      <c r="H561" s="113">
        <f t="shared" si="222"/>
        <v>8.6048812205951588</v>
      </c>
      <c r="I561" s="114">
        <f t="shared" si="223"/>
        <v>1.4543200292591221</v>
      </c>
      <c r="J561" s="101">
        <f t="shared" si="224"/>
        <v>1.0016218843194171</v>
      </c>
      <c r="K561" s="104">
        <f t="shared" si="225"/>
        <v>5.6915643866855756E-2</v>
      </c>
      <c r="L561" s="102">
        <f t="shared" si="226"/>
        <v>1</v>
      </c>
      <c r="M561" s="103">
        <f t="shared" si="227"/>
        <v>2.9913019992166505E-9</v>
      </c>
      <c r="N561" s="101">
        <f t="shared" si="228"/>
        <v>1</v>
      </c>
      <c r="O561" s="104">
        <f t="shared" si="229"/>
        <v>4.7860831987466407E-10</v>
      </c>
      <c r="P561" s="105">
        <f t="shared" ca="1" si="230"/>
        <v>5.2159300273589739</v>
      </c>
      <c r="Q561" s="106">
        <f t="shared" ca="1" si="231"/>
        <v>1.5367253429164507</v>
      </c>
      <c r="R561" s="107">
        <f t="shared" ca="1" si="232"/>
        <v>-31.896292991103003</v>
      </c>
      <c r="S561" s="108">
        <f t="shared" ca="1" si="233"/>
        <v>-98.437248018320162</v>
      </c>
      <c r="T561" s="116">
        <f t="shared" ca="1" si="234"/>
        <v>81.562751981679838</v>
      </c>
      <c r="V561" s="72">
        <f t="shared" ca="1" si="235"/>
        <v>90682</v>
      </c>
      <c r="W561" s="72">
        <f t="shared" si="236"/>
        <v>8223225124</v>
      </c>
      <c r="Y561" s="110">
        <f t="shared" si="237"/>
        <v>6.0655769828057</v>
      </c>
      <c r="Z561" s="111">
        <f t="shared" si="238"/>
        <v>-9.9262463806587782</v>
      </c>
      <c r="AA561" s="72">
        <f t="shared" si="239"/>
        <v>170.07375361934123</v>
      </c>
      <c r="AB561" s="110">
        <f t="shared" ca="1" si="240"/>
        <v>-22.044269627027195</v>
      </c>
      <c r="AC561" s="111">
        <f t="shared" ca="1" si="241"/>
        <v>-88.511001637661352</v>
      </c>
      <c r="AD561" s="72">
        <f t="shared" ca="1" si="242"/>
        <v>91.488998362338648</v>
      </c>
    </row>
    <row r="562" spans="1:30">
      <c r="A562" s="118">
        <v>91201</v>
      </c>
      <c r="B562" s="101">
        <f t="shared" ca="1" si="216"/>
        <v>4676.8563757197462</v>
      </c>
      <c r="C562" s="102">
        <f t="shared" ca="1" si="217"/>
        <v>1.5705825079543585</v>
      </c>
      <c r="D562" s="102">
        <f t="shared" si="218"/>
        <v>121.20055897205792</v>
      </c>
      <c r="E562" s="103">
        <f t="shared" si="219"/>
        <v>1.5625454461492672</v>
      </c>
      <c r="F562" s="101">
        <f t="shared" si="220"/>
        <v>6876.3934632561368</v>
      </c>
      <c r="G562" s="104">
        <f t="shared" si="221"/>
        <v>1.5706509017244918</v>
      </c>
      <c r="H562" s="113">
        <f t="shared" si="222"/>
        <v>8.6534662546930896</v>
      </c>
      <c r="I562" s="114">
        <f t="shared" si="223"/>
        <v>1.4549769357176376</v>
      </c>
      <c r="J562" s="101">
        <f t="shared" si="224"/>
        <v>1.001640487250149</v>
      </c>
      <c r="K562" s="104">
        <f t="shared" si="225"/>
        <v>5.7240679936418133E-2</v>
      </c>
      <c r="L562" s="102">
        <f t="shared" si="226"/>
        <v>1</v>
      </c>
      <c r="M562" s="103">
        <f t="shared" si="227"/>
        <v>3.0084221083628254E-9</v>
      </c>
      <c r="N562" s="101">
        <f t="shared" si="228"/>
        <v>1</v>
      </c>
      <c r="O562" s="104">
        <f t="shared" si="229"/>
        <v>4.8134753733805203E-10</v>
      </c>
      <c r="P562" s="105">
        <f t="shared" ca="1" si="230"/>
        <v>5.2454365546779709</v>
      </c>
      <c r="Q562" s="106">
        <f t="shared" ca="1" si="231"/>
        <v>1.538717658883455</v>
      </c>
      <c r="R562" s="107">
        <f t="shared" ca="1" si="232"/>
        <v>-31.946121052797615</v>
      </c>
      <c r="S562" s="108">
        <f t="shared" ca="1" si="233"/>
        <v>-98.529796833734608</v>
      </c>
      <c r="T562" s="116">
        <f t="shared" ca="1" si="234"/>
        <v>81.470203166265392</v>
      </c>
      <c r="V562" s="72">
        <f t="shared" ca="1" si="235"/>
        <v>91201</v>
      </c>
      <c r="W562" s="72">
        <f t="shared" si="236"/>
        <v>8317622401</v>
      </c>
      <c r="Y562" s="110">
        <f t="shared" si="237"/>
        <v>6.0647499493666279</v>
      </c>
      <c r="Z562" s="111">
        <f t="shared" si="238"/>
        <v>-9.9072792950784425</v>
      </c>
      <c r="AA562" s="72">
        <f t="shared" si="239"/>
        <v>170.09272070492156</v>
      </c>
      <c r="AB562" s="110">
        <f t="shared" ca="1" si="240"/>
        <v>-22.09327065528274</v>
      </c>
      <c r="AC562" s="111">
        <f t="shared" ca="1" si="241"/>
        <v>-88.622517538656169</v>
      </c>
      <c r="AD562" s="72">
        <f t="shared" ca="1" si="242"/>
        <v>91.377482461343831</v>
      </c>
    </row>
    <row r="563" spans="1:30">
      <c r="A563" s="118">
        <v>91732</v>
      </c>
      <c r="B563" s="101">
        <f t="shared" ca="1" si="216"/>
        <v>4704.0864567747567</v>
      </c>
      <c r="C563" s="102">
        <f t="shared" ca="1" si="217"/>
        <v>1.5705837456663989</v>
      </c>
      <c r="D563" s="102">
        <f t="shared" si="218"/>
        <v>121.90617764209235</v>
      </c>
      <c r="E563" s="103">
        <f t="shared" si="219"/>
        <v>1.562593205061189</v>
      </c>
      <c r="F563" s="101">
        <f t="shared" si="220"/>
        <v>6916.4299195668336</v>
      </c>
      <c r="G563" s="104">
        <f t="shared" si="221"/>
        <v>1.5706517435322722</v>
      </c>
      <c r="H563" s="113">
        <f t="shared" si="222"/>
        <v>8.70317846323608</v>
      </c>
      <c r="I563" s="114">
        <f t="shared" si="223"/>
        <v>1.4556414398506732</v>
      </c>
      <c r="J563" s="101">
        <f t="shared" si="224"/>
        <v>1.0016596298224913</v>
      </c>
      <c r="K563" s="104">
        <f t="shared" si="225"/>
        <v>5.7573218759578833E-2</v>
      </c>
      <c r="L563" s="102">
        <f t="shared" si="226"/>
        <v>1</v>
      </c>
      <c r="M563" s="103">
        <f t="shared" si="227"/>
        <v>3.0259380581829001E-9</v>
      </c>
      <c r="N563" s="101">
        <f t="shared" si="228"/>
        <v>1</v>
      </c>
      <c r="O563" s="104">
        <f t="shared" si="229"/>
        <v>4.8415008930926398E-10</v>
      </c>
      <c r="P563" s="105">
        <f t="shared" ca="1" si="230"/>
        <v>5.2756449428354628</v>
      </c>
      <c r="Q563" s="106">
        <f t="shared" ca="1" si="231"/>
        <v>1.54074353055793</v>
      </c>
      <c r="R563" s="107">
        <f t="shared" ca="1" si="232"/>
        <v>-31.996838425092786</v>
      </c>
      <c r="S563" s="108">
        <f t="shared" ca="1" si="233"/>
        <v>-98.624233282203335</v>
      </c>
      <c r="T563" s="116">
        <f t="shared" ca="1" si="234"/>
        <v>81.375766717796665</v>
      </c>
      <c r="V563" s="72">
        <f t="shared" ca="1" si="235"/>
        <v>91732</v>
      </c>
      <c r="W563" s="72">
        <f t="shared" si="236"/>
        <v>8414759824</v>
      </c>
      <c r="Y563" s="110">
        <f t="shared" si="237"/>
        <v>6.0639144049570444</v>
      </c>
      <c r="Z563" s="111">
        <f t="shared" si="238"/>
        <v>-9.8883073150461254</v>
      </c>
      <c r="AA563" s="72">
        <f t="shared" si="239"/>
        <v>170.11169268495388</v>
      </c>
      <c r="AB563" s="110">
        <f t="shared" ca="1" si="240"/>
        <v>-22.143152483168329</v>
      </c>
      <c r="AC563" s="111">
        <f t="shared" ca="1" si="241"/>
        <v>-88.735925967157186</v>
      </c>
      <c r="AD563" s="72">
        <f t="shared" ca="1" si="242"/>
        <v>91.264074032842814</v>
      </c>
    </row>
    <row r="564" spans="1:30">
      <c r="A564" s="118">
        <v>92263</v>
      </c>
      <c r="B564" s="101">
        <f t="shared" ca="1" si="216"/>
        <v>4731.3165378368903</v>
      </c>
      <c r="C564" s="102">
        <f t="shared" ca="1" si="217"/>
        <v>1.5705849691316651</v>
      </c>
      <c r="D564" s="102">
        <f t="shared" si="218"/>
        <v>122.61179658698384</v>
      </c>
      <c r="E564" s="103">
        <f t="shared" si="219"/>
        <v>1.5626404142774462</v>
      </c>
      <c r="F564" s="101">
        <f t="shared" si="220"/>
        <v>6956.4663758823726</v>
      </c>
      <c r="G564" s="104">
        <f t="shared" si="221"/>
        <v>1.5706525756503629</v>
      </c>
      <c r="H564" s="113">
        <f t="shared" si="222"/>
        <v>8.7528944711504977</v>
      </c>
      <c r="I564" s="114">
        <f t="shared" si="223"/>
        <v>1.4562983955698039</v>
      </c>
      <c r="J564" s="101">
        <f t="shared" si="224"/>
        <v>1.0016788831561871</v>
      </c>
      <c r="K564" s="104">
        <f t="shared" si="225"/>
        <v>5.7905744836009923E-2</v>
      </c>
      <c r="L564" s="102">
        <f t="shared" si="226"/>
        <v>1</v>
      </c>
      <c r="M564" s="103">
        <f t="shared" si="227"/>
        <v>3.0434540080029752E-9</v>
      </c>
      <c r="N564" s="101">
        <f t="shared" si="228"/>
        <v>1</v>
      </c>
      <c r="O564" s="104">
        <f t="shared" si="229"/>
        <v>4.8695264128047604E-10</v>
      </c>
      <c r="P564" s="105">
        <f t="shared" ca="1" si="230"/>
        <v>5.3058731551699783</v>
      </c>
      <c r="Q564" s="106">
        <f t="shared" ca="1" si="231"/>
        <v>1.5427569499724141</v>
      </c>
      <c r="R564" s="107">
        <f t="shared" ca="1" si="232"/>
        <v>-32.04729293196322</v>
      </c>
      <c r="S564" s="108">
        <f t="shared" ca="1" si="233"/>
        <v>-98.71841815443706</v>
      </c>
      <c r="T564" s="116">
        <f t="shared" ca="1" si="234"/>
        <v>81.28158184556294</v>
      </c>
      <c r="V564" s="72">
        <f t="shared" ca="1" si="235"/>
        <v>92263</v>
      </c>
      <c r="W564" s="72">
        <f t="shared" si="236"/>
        <v>8512461169</v>
      </c>
      <c r="Y564" s="110">
        <f t="shared" si="237"/>
        <v>6.0630893297061785</v>
      </c>
      <c r="Z564" s="111">
        <f t="shared" si="238"/>
        <v>-9.8697665417609635</v>
      </c>
      <c r="AA564" s="72">
        <f t="shared" si="239"/>
        <v>170.13023345823905</v>
      </c>
      <c r="AB564" s="110">
        <f t="shared" ca="1" si="240"/>
        <v>-22.192781914787894</v>
      </c>
      <c r="AC564" s="111">
        <f t="shared" ca="1" si="241"/>
        <v>-88.848651612676107</v>
      </c>
      <c r="AD564" s="72">
        <f t="shared" ca="1" si="242"/>
        <v>91.151348387323893</v>
      </c>
    </row>
    <row r="565" spans="1:30">
      <c r="A565" s="118">
        <v>92794</v>
      </c>
      <c r="B565" s="101">
        <f t="shared" ca="1" si="216"/>
        <v>4758.5466189060244</v>
      </c>
      <c r="C565" s="102">
        <f t="shared" ca="1" si="217"/>
        <v>1.5705861785947324</v>
      </c>
      <c r="D565" s="102">
        <f t="shared" si="218"/>
        <v>123.31741580201425</v>
      </c>
      <c r="E565" s="103">
        <f t="shared" si="219"/>
        <v>1.5626870832338617</v>
      </c>
      <c r="F565" s="101">
        <f t="shared" si="220"/>
        <v>6996.5028322026756</v>
      </c>
      <c r="G565" s="104">
        <f t="shared" si="221"/>
        <v>1.5706533982451072</v>
      </c>
      <c r="H565" s="113">
        <f t="shared" si="222"/>
        <v>8.802614214061288</v>
      </c>
      <c r="I565" s="114">
        <f t="shared" si="223"/>
        <v>1.4569479302100548</v>
      </c>
      <c r="J565" s="101">
        <f t="shared" si="224"/>
        <v>1.0016982472448497</v>
      </c>
      <c r="K565" s="104">
        <f t="shared" si="225"/>
        <v>5.8238258092911332E-2</v>
      </c>
      <c r="L565" s="102">
        <f t="shared" si="226"/>
        <v>1</v>
      </c>
      <c r="M565" s="103">
        <f t="shared" si="227"/>
        <v>3.0609699578230503E-9</v>
      </c>
      <c r="N565" s="101">
        <f t="shared" si="228"/>
        <v>1</v>
      </c>
      <c r="O565" s="104">
        <f t="shared" si="229"/>
        <v>4.8975519325168798E-10</v>
      </c>
      <c r="P565" s="105">
        <f t="shared" ca="1" si="230"/>
        <v>5.3361211645325515</v>
      </c>
      <c r="Q565" s="106">
        <f t="shared" ca="1" si="231"/>
        <v>1.5447581144150098</v>
      </c>
      <c r="R565" s="107">
        <f t="shared" ca="1" si="232"/>
        <v>-32.097487470579381</v>
      </c>
      <c r="S565" s="108">
        <f t="shared" ca="1" si="233"/>
        <v>-98.812354937191898</v>
      </c>
      <c r="T565" s="116">
        <f t="shared" ca="1" si="234"/>
        <v>81.187645062808102</v>
      </c>
      <c r="V565" s="72">
        <f t="shared" ca="1" si="235"/>
        <v>92794</v>
      </c>
      <c r="W565" s="72">
        <f t="shared" si="236"/>
        <v>8610726436</v>
      </c>
      <c r="Y565" s="110">
        <f t="shared" si="237"/>
        <v>6.0622744657458183</v>
      </c>
      <c r="Z565" s="111">
        <f t="shared" si="238"/>
        <v>-9.8516496848230144</v>
      </c>
      <c r="AA565" s="72">
        <f t="shared" si="239"/>
        <v>170.148350315177</v>
      </c>
      <c r="AB565" s="110">
        <f t="shared" ca="1" si="240"/>
        <v>-22.242161589443697</v>
      </c>
      <c r="AC565" s="111">
        <f t="shared" ca="1" si="241"/>
        <v>-88.960705252368868</v>
      </c>
      <c r="AD565" s="72">
        <f t="shared" ca="1" si="242"/>
        <v>91.039294747631132</v>
      </c>
    </row>
    <row r="566" spans="1:30">
      <c r="A566" s="118">
        <v>93325</v>
      </c>
      <c r="B566" s="101">
        <f t="shared" ca="1" si="216"/>
        <v>4785.7766999820415</v>
      </c>
      <c r="C566" s="102">
        <f t="shared" ca="1" si="217"/>
        <v>1.5705873742946095</v>
      </c>
      <c r="D566" s="102">
        <f t="shared" si="218"/>
        <v>124.02303528257276</v>
      </c>
      <c r="E566" s="103">
        <f t="shared" si="219"/>
        <v>1.5627332211515306</v>
      </c>
      <c r="F566" s="101">
        <f t="shared" si="220"/>
        <v>7036.5392885276588</v>
      </c>
      <c r="G566" s="104">
        <f t="shared" si="221"/>
        <v>1.5706542114790627</v>
      </c>
      <c r="H566" s="113">
        <f t="shared" si="222"/>
        <v>8.8523376290348903</v>
      </c>
      <c r="I566" s="114">
        <f t="shared" si="223"/>
        <v>1.4575901682708685</v>
      </c>
      <c r="J566" s="101">
        <f t="shared" si="224"/>
        <v>1.0017177220820561</v>
      </c>
      <c r="K566" s="104">
        <f t="shared" si="225"/>
        <v>5.8570758457499941E-2</v>
      </c>
      <c r="L566" s="102">
        <f t="shared" si="226"/>
        <v>1</v>
      </c>
      <c r="M566" s="103">
        <f t="shared" si="227"/>
        <v>3.0784859076431254E-9</v>
      </c>
      <c r="N566" s="101">
        <f t="shared" si="228"/>
        <v>1</v>
      </c>
      <c r="O566" s="104">
        <f t="shared" si="229"/>
        <v>4.9255774522290004E-10</v>
      </c>
      <c r="P566" s="105">
        <f t="shared" ca="1" si="230"/>
        <v>5.3663889459448058</v>
      </c>
      <c r="Q566" s="106">
        <f t="shared" ca="1" si="231"/>
        <v>1.5467472169267766</v>
      </c>
      <c r="R566" s="107">
        <f t="shared" ca="1" si="232"/>
        <v>-32.14742489266537</v>
      </c>
      <c r="S566" s="108">
        <f t="shared" ca="1" si="233"/>
        <v>-98.906047048121252</v>
      </c>
      <c r="T566" s="116">
        <f t="shared" ca="1" si="234"/>
        <v>81.093952951878748</v>
      </c>
      <c r="V566" s="72">
        <f t="shared" ca="1" si="235"/>
        <v>93325</v>
      </c>
      <c r="W566" s="72">
        <f t="shared" si="236"/>
        <v>8709555625</v>
      </c>
      <c r="Y566" s="110">
        <f t="shared" si="237"/>
        <v>6.0614695624327917</v>
      </c>
      <c r="Z566" s="111">
        <f t="shared" si="238"/>
        <v>-9.8339496160833804</v>
      </c>
      <c r="AA566" s="72">
        <f t="shared" si="239"/>
        <v>170.16605038391663</v>
      </c>
      <c r="AB566" s="110">
        <f t="shared" ca="1" si="240"/>
        <v>-22.291294108216654</v>
      </c>
      <c r="AC566" s="111">
        <f t="shared" ca="1" si="241"/>
        <v>-89.07209743203785</v>
      </c>
      <c r="AD566" s="72">
        <f t="shared" ca="1" si="242"/>
        <v>90.92790256796215</v>
      </c>
    </row>
    <row r="567" spans="1:30">
      <c r="A567" s="118">
        <v>93868.5</v>
      </c>
      <c r="B567" s="101">
        <f t="shared" ca="1" si="216"/>
        <v>4813.6477905065885</v>
      </c>
      <c r="C567" s="102">
        <f t="shared" ca="1" si="217"/>
        <v>1.5705885841326344</v>
      </c>
      <c r="D567" s="102">
        <f t="shared" si="218"/>
        <v>124.74526566147951</v>
      </c>
      <c r="E567" s="103">
        <f t="shared" si="219"/>
        <v>1.5627799046462756</v>
      </c>
      <c r="F567" s="101">
        <f t="shared" si="220"/>
        <v>7077.5182226428342</v>
      </c>
      <c r="G567" s="104">
        <f t="shared" si="221"/>
        <v>1.5706550343288275</v>
      </c>
      <c r="H567" s="113">
        <f t="shared" si="222"/>
        <v>8.903235296073678</v>
      </c>
      <c r="I567" s="114">
        <f t="shared" si="223"/>
        <v>1.4582400957286323</v>
      </c>
      <c r="J567" s="101">
        <f t="shared" si="224"/>
        <v>1.0017377700495662</v>
      </c>
      <c r="K567" s="104">
        <f t="shared" si="225"/>
        <v>5.8911072616408315E-2</v>
      </c>
      <c r="L567" s="102">
        <f t="shared" si="226"/>
        <v>1</v>
      </c>
      <c r="M567" s="103">
        <f t="shared" si="227"/>
        <v>3.0964141914985129E-9</v>
      </c>
      <c r="N567" s="101">
        <f t="shared" si="228"/>
        <v>1</v>
      </c>
      <c r="O567" s="104">
        <f t="shared" si="229"/>
        <v>4.95426270639762E-10</v>
      </c>
      <c r="P567" s="105">
        <f t="shared" ca="1" si="230"/>
        <v>5.3973896975908842</v>
      </c>
      <c r="Q567" s="106">
        <f t="shared" ca="1" si="231"/>
        <v>1.5487708498354973</v>
      </c>
      <c r="R567" s="107">
        <f t="shared" ca="1" si="232"/>
        <v>-32.198274529018541</v>
      </c>
      <c r="S567" s="108">
        <f t="shared" ca="1" si="233"/>
        <v>-99.001694834225148</v>
      </c>
      <c r="T567" s="116">
        <f t="shared" ca="1" si="234"/>
        <v>80.998305165774852</v>
      </c>
      <c r="V567" s="72">
        <f t="shared" ca="1" si="235"/>
        <v>93868.5</v>
      </c>
      <c r="W567" s="72">
        <f t="shared" si="236"/>
        <v>8811295292.25</v>
      </c>
      <c r="Y567" s="110">
        <f t="shared" si="237"/>
        <v>6.0606557721580234</v>
      </c>
      <c r="Z567" s="111">
        <f t="shared" si="238"/>
        <v>-9.8162572257134642</v>
      </c>
      <c r="AA567" s="72">
        <f t="shared" si="239"/>
        <v>170.18374277428654</v>
      </c>
      <c r="AB567" s="110">
        <f t="shared" ca="1" si="240"/>
        <v>-22.341329954295063</v>
      </c>
      <c r="AC567" s="111">
        <f t="shared" ca="1" si="241"/>
        <v>-89.185437608511748</v>
      </c>
      <c r="AD567" s="72">
        <f t="shared" ca="1" si="242"/>
        <v>90.814562391488252</v>
      </c>
    </row>
    <row r="568" spans="1:30">
      <c r="A568" s="118">
        <v>94412</v>
      </c>
      <c r="B568" s="101">
        <f t="shared" ca="1" si="216"/>
        <v>4841.5188810380996</v>
      </c>
      <c r="C568" s="102">
        <f t="shared" ca="1" si="217"/>
        <v>1.5705897800413506</v>
      </c>
      <c r="D568" s="102">
        <f t="shared" si="218"/>
        <v>125.46749630911984</v>
      </c>
      <c r="E568" s="103">
        <f t="shared" si="219"/>
        <v>1.5628260506911567</v>
      </c>
      <c r="F568" s="101">
        <f t="shared" si="220"/>
        <v>7118.4971567627463</v>
      </c>
      <c r="G568" s="104">
        <f t="shared" si="221"/>
        <v>1.5706558477048209</v>
      </c>
      <c r="H568" s="113">
        <f t="shared" si="222"/>
        <v>8.9541366811343899</v>
      </c>
      <c r="I568" s="114">
        <f t="shared" si="223"/>
        <v>1.4588826341984178</v>
      </c>
      <c r="J568" s="101">
        <f t="shared" si="224"/>
        <v>1.0017579340274094</v>
      </c>
      <c r="K568" s="104">
        <f t="shared" si="225"/>
        <v>5.9251373114636373E-2</v>
      </c>
      <c r="L568" s="102">
        <f t="shared" si="226"/>
        <v>1</v>
      </c>
      <c r="M568" s="103">
        <f t="shared" si="227"/>
        <v>3.1143424753539003E-9</v>
      </c>
      <c r="N568" s="101">
        <f t="shared" si="228"/>
        <v>1</v>
      </c>
      <c r="O568" s="104">
        <f t="shared" si="229"/>
        <v>4.9829479605662408E-10</v>
      </c>
      <c r="P568" s="105">
        <f t="shared" ca="1" si="230"/>
        <v>5.4284111168876583</v>
      </c>
      <c r="Q568" s="106">
        <f t="shared" ca="1" si="231"/>
        <v>1.5507822423236113</v>
      </c>
      <c r="R568" s="107">
        <f t="shared" ca="1" si="232"/>
        <v>-32.248860704635604</v>
      </c>
      <c r="S568" s="108">
        <f t="shared" ca="1" si="233"/>
        <v>-99.097093323726554</v>
      </c>
      <c r="T568" s="116">
        <f t="shared" ca="1" si="234"/>
        <v>80.902906676273446</v>
      </c>
      <c r="V568" s="72">
        <f t="shared" ca="1" si="235"/>
        <v>94412</v>
      </c>
      <c r="W568" s="72">
        <f t="shared" si="236"/>
        <v>8913625744</v>
      </c>
      <c r="Y568" s="110">
        <f t="shared" si="237"/>
        <v>6.0598519078177704</v>
      </c>
      <c r="Z568" s="111">
        <f t="shared" si="238"/>
        <v>-9.7989868676636078</v>
      </c>
      <c r="AA568" s="72">
        <f t="shared" si="239"/>
        <v>170.20101313233639</v>
      </c>
      <c r="AB568" s="110">
        <f t="shared" ca="1" si="240"/>
        <v>-22.39111226557187</v>
      </c>
      <c r="AC568" s="111">
        <f t="shared" ca="1" si="241"/>
        <v>-89.298106456062953</v>
      </c>
      <c r="AD568" s="72">
        <f t="shared" ca="1" si="242"/>
        <v>90.701893543937047</v>
      </c>
    </row>
    <row r="569" spans="1:30">
      <c r="A569" s="118">
        <v>94955.5</v>
      </c>
      <c r="B569" s="101">
        <f t="shared" ca="1" si="216"/>
        <v>4869.3899715764555</v>
      </c>
      <c r="C569" s="102">
        <f t="shared" ca="1" si="217"/>
        <v>1.5705909622599412</v>
      </c>
      <c r="D569" s="102">
        <f t="shared" si="218"/>
        <v>126.18972722087956</v>
      </c>
      <c r="E569" s="103">
        <f t="shared" si="219"/>
        <v>1.5628716685140545</v>
      </c>
      <c r="F569" s="101">
        <f t="shared" si="220"/>
        <v>7159.4760908873141</v>
      </c>
      <c r="G569" s="104">
        <f t="shared" si="221"/>
        <v>1.5706566517697191</v>
      </c>
      <c r="H569" s="113">
        <f t="shared" si="222"/>
        <v>9.0050417211681939</v>
      </c>
      <c r="I569" s="114">
        <f t="shared" si="223"/>
        <v>1.4595179084538366</v>
      </c>
      <c r="J569" s="101">
        <f t="shared" si="224"/>
        <v>1.0017782140085805</v>
      </c>
      <c r="K569" s="104">
        <f t="shared" si="225"/>
        <v>5.9591659874194784E-2</v>
      </c>
      <c r="L569" s="102">
        <f t="shared" si="226"/>
        <v>1</v>
      </c>
      <c r="M569" s="103">
        <f t="shared" si="227"/>
        <v>3.1322707592092878E-9</v>
      </c>
      <c r="N569" s="101">
        <f t="shared" si="228"/>
        <v>1</v>
      </c>
      <c r="O569" s="104">
        <f t="shared" si="229"/>
        <v>5.0116332147348604E-10</v>
      </c>
      <c r="P569" s="105">
        <f t="shared" ca="1" si="230"/>
        <v>5.4594531837301412</v>
      </c>
      <c r="Q569" s="106">
        <f t="shared" ca="1" si="231"/>
        <v>1.5527815882829605</v>
      </c>
      <c r="R569" s="107">
        <f t="shared" ca="1" si="232"/>
        <v>-32.299186335456504</v>
      </c>
      <c r="S569" s="108">
        <f t="shared" ca="1" si="233"/>
        <v>-99.192245966645928</v>
      </c>
      <c r="T569" s="116">
        <f t="shared" ca="1" si="234"/>
        <v>80.807754033354072</v>
      </c>
      <c r="V569" s="72">
        <f t="shared" ca="1" si="235"/>
        <v>94955.5</v>
      </c>
      <c r="W569" s="72">
        <f t="shared" si="236"/>
        <v>9016546980.25</v>
      </c>
      <c r="Y569" s="110">
        <f t="shared" si="237"/>
        <v>6.0590577226213025</v>
      </c>
      <c r="Z569" s="111">
        <f t="shared" si="238"/>
        <v>-9.7821313977846884</v>
      </c>
      <c r="AA569" s="72">
        <f t="shared" si="239"/>
        <v>170.2178686022153</v>
      </c>
      <c r="AB569" s="110">
        <f t="shared" ca="1" si="240"/>
        <v>-22.440643711196305</v>
      </c>
      <c r="AC569" s="111">
        <f t="shared" ca="1" si="241"/>
        <v>-89.410114568861275</v>
      </c>
      <c r="AD569" s="72">
        <f t="shared" ca="1" si="242"/>
        <v>90.589885431138725</v>
      </c>
    </row>
    <row r="570" spans="1:30">
      <c r="A570" s="118">
        <v>95499</v>
      </c>
      <c r="B570" s="101">
        <f t="shared" ca="1" si="216"/>
        <v>4897.2610621215408</v>
      </c>
      <c r="C570" s="102">
        <f t="shared" ca="1" si="217"/>
        <v>1.5705921310221445</v>
      </c>
      <c r="D570" s="102">
        <f t="shared" si="218"/>
        <v>126.91195839224949</v>
      </c>
      <c r="E570" s="103">
        <f t="shared" si="219"/>
        <v>1.5629167671328017</v>
      </c>
      <c r="F570" s="101">
        <f t="shared" si="220"/>
        <v>7200.4550250164575</v>
      </c>
      <c r="G570" s="104">
        <f t="shared" si="221"/>
        <v>1.5706574466824954</v>
      </c>
      <c r="H570" s="113">
        <f t="shared" si="222"/>
        <v>9.0559503545394069</v>
      </c>
      <c r="I570" s="114">
        <f t="shared" si="223"/>
        <v>1.4601460404865634</v>
      </c>
      <c r="J570" s="101">
        <f t="shared" si="224"/>
        <v>1.0017986099860343</v>
      </c>
      <c r="K570" s="104">
        <f t="shared" si="225"/>
        <v>5.9931932817113259E-2</v>
      </c>
      <c r="L570" s="102">
        <f t="shared" si="226"/>
        <v>1</v>
      </c>
      <c r="M570" s="103">
        <f t="shared" si="227"/>
        <v>3.1501990430646752E-9</v>
      </c>
      <c r="N570" s="101">
        <f t="shared" si="228"/>
        <v>1</v>
      </c>
      <c r="O570" s="104">
        <f t="shared" si="229"/>
        <v>5.0403184689034801E-10</v>
      </c>
      <c r="P570" s="105">
        <f t="shared" ca="1" si="230"/>
        <v>5.4905158801420013</v>
      </c>
      <c r="Q570" s="106">
        <f t="shared" ca="1" si="231"/>
        <v>1.5547690774165326</v>
      </c>
      <c r="R570" s="107">
        <f t="shared" ca="1" si="232"/>
        <v>-32.349254291487391</v>
      </c>
      <c r="S570" s="108">
        <f t="shared" ca="1" si="233"/>
        <v>-99.287156143905349</v>
      </c>
      <c r="T570" s="116">
        <f t="shared" ca="1" si="234"/>
        <v>80.712843856094651</v>
      </c>
      <c r="V570" s="72">
        <f t="shared" ca="1" si="235"/>
        <v>95499</v>
      </c>
      <c r="W570" s="72">
        <f t="shared" si="236"/>
        <v>9120059001</v>
      </c>
      <c r="Y570" s="110">
        <f t="shared" si="237"/>
        <v>6.0582729766986958</v>
      </c>
      <c r="Z570" s="111">
        <f t="shared" si="238"/>
        <v>-9.765683831109703</v>
      </c>
      <c r="AA570" s="72">
        <f t="shared" si="239"/>
        <v>170.2343161688903</v>
      </c>
      <c r="AB570" s="110">
        <f t="shared" ca="1" si="240"/>
        <v>-22.489926921304576</v>
      </c>
      <c r="AC570" s="111">
        <f t="shared" ca="1" si="241"/>
        <v>-89.521472312795709</v>
      </c>
      <c r="AD570" s="72">
        <f t="shared" ca="1" si="242"/>
        <v>90.478527687204291</v>
      </c>
    </row>
    <row r="571" spans="1:30">
      <c r="A571" s="118">
        <v>96611.5</v>
      </c>
      <c r="B571" s="101">
        <f t="shared" ca="1" si="216"/>
        <v>4954.3109024942187</v>
      </c>
      <c r="C571" s="102">
        <f t="shared" ca="1" si="217"/>
        <v>1.5705944823756683</v>
      </c>
      <c r="D571" s="102">
        <f t="shared" si="218"/>
        <v>128.39030725725843</v>
      </c>
      <c r="E571" s="103">
        <f t="shared" si="219"/>
        <v>1.5630074980864859</v>
      </c>
      <c r="F571" s="101">
        <f t="shared" si="220"/>
        <v>7284.3355479718421</v>
      </c>
      <c r="G571" s="104">
        <f t="shared" si="221"/>
        <v>1.5706590459136749</v>
      </c>
      <c r="H571" s="113">
        <f t="shared" si="222"/>
        <v>9.1601671122384403</v>
      </c>
      <c r="I571" s="114">
        <f t="shared" si="223"/>
        <v>1.4614100019482472</v>
      </c>
      <c r="J571" s="101">
        <f t="shared" si="224"/>
        <v>1.0018407205744198</v>
      </c>
      <c r="K571" s="104">
        <f t="shared" si="225"/>
        <v>6.0628400257188381E-2</v>
      </c>
      <c r="L571" s="102">
        <f t="shared" si="226"/>
        <v>1</v>
      </c>
      <c r="M571" s="103">
        <f t="shared" si="227"/>
        <v>3.1868967722074879E-9</v>
      </c>
      <c r="N571" s="101">
        <f t="shared" si="228"/>
        <v>1</v>
      </c>
      <c r="O571" s="104">
        <f t="shared" si="229"/>
        <v>5.0990348355319802E-10</v>
      </c>
      <c r="P571" s="105">
        <f t="shared" ca="1" si="230"/>
        <v>5.5541629428517068</v>
      </c>
      <c r="Q571" s="106">
        <f t="shared" ca="1" si="231"/>
        <v>1.5588011071484731</v>
      </c>
      <c r="R571" s="107">
        <f t="shared" ca="1" si="232"/>
        <v>-32.450947601300008</v>
      </c>
      <c r="S571" s="108">
        <f t="shared" ca="1" si="233"/>
        <v>-99.480687267647482</v>
      </c>
      <c r="T571" s="116">
        <f t="shared" ca="1" si="234"/>
        <v>80.519312732352518</v>
      </c>
      <c r="V571" s="72">
        <f t="shared" ca="1" si="235"/>
        <v>96611.5</v>
      </c>
      <c r="W571" s="72">
        <f t="shared" si="236"/>
        <v>9333781932.25</v>
      </c>
      <c r="Y571" s="110">
        <f t="shared" si="237"/>
        <v>6.0566951276572016</v>
      </c>
      <c r="Z571" s="111">
        <f t="shared" si="238"/>
        <v>-9.7332604461664047</v>
      </c>
      <c r="AA571" s="72">
        <f t="shared" si="239"/>
        <v>170.26673955383359</v>
      </c>
      <c r="AB571" s="110">
        <f t="shared" ca="1" si="240"/>
        <v>-22.590042382075705</v>
      </c>
      <c r="AC571" s="111">
        <f t="shared" ca="1" si="241"/>
        <v>-89.747426821481113</v>
      </c>
      <c r="AD571" s="72">
        <f t="shared" ca="1" si="242"/>
        <v>90.252573178518887</v>
      </c>
    </row>
    <row r="572" spans="1:30">
      <c r="A572" s="118">
        <v>97724</v>
      </c>
      <c r="B572" s="101">
        <f t="shared" ca="1" si="216"/>
        <v>5011.3607428936648</v>
      </c>
      <c r="C572" s="102">
        <f t="shared" ca="1" si="217"/>
        <v>1.5705967801930969</v>
      </c>
      <c r="D572" s="102">
        <f t="shared" si="218"/>
        <v>129.86865715512721</v>
      </c>
      <c r="E572" s="103">
        <f t="shared" si="219"/>
        <v>1.5630961633831817</v>
      </c>
      <c r="F572" s="101">
        <f t="shared" si="220"/>
        <v>7368.2160709454329</v>
      </c>
      <c r="G572" s="104">
        <f t="shared" si="221"/>
        <v>1.5706606087332327</v>
      </c>
      <c r="H572" s="113">
        <f t="shared" si="222"/>
        <v>9.2643981749472797</v>
      </c>
      <c r="I572" s="114">
        <f t="shared" si="223"/>
        <v>1.4626455244177379</v>
      </c>
      <c r="J572" s="101">
        <f t="shared" si="224"/>
        <v>1.0018833170815844</v>
      </c>
      <c r="K572" s="104">
        <f t="shared" si="225"/>
        <v>6.13248088124188E-2</v>
      </c>
      <c r="L572" s="102">
        <f t="shared" si="226"/>
        <v>1</v>
      </c>
      <c r="M572" s="103">
        <f t="shared" si="227"/>
        <v>3.2235945013503002E-9</v>
      </c>
      <c r="N572" s="101">
        <f t="shared" si="228"/>
        <v>1</v>
      </c>
      <c r="O572" s="104">
        <f t="shared" si="229"/>
        <v>5.1577512021604802E-10</v>
      </c>
      <c r="P572" s="105">
        <f t="shared" ca="1" si="230"/>
        <v>5.6178962659381328</v>
      </c>
      <c r="Q572" s="106">
        <f t="shared" ca="1" si="231"/>
        <v>1.5627857723877205</v>
      </c>
      <c r="R572" s="107">
        <f t="shared" ca="1" si="232"/>
        <v>-32.551596731872444</v>
      </c>
      <c r="S572" s="108">
        <f t="shared" ca="1" si="233"/>
        <v>-99.673243866034468</v>
      </c>
      <c r="T572" s="116">
        <f t="shared" ca="1" si="234"/>
        <v>80.326756133965532</v>
      </c>
      <c r="V572" s="72">
        <f t="shared" ca="1" si="235"/>
        <v>97724</v>
      </c>
      <c r="W572" s="72">
        <f t="shared" si="236"/>
        <v>9549980176</v>
      </c>
      <c r="Y572" s="110">
        <f t="shared" si="237"/>
        <v>6.0551539414171209</v>
      </c>
      <c r="Z572" s="111">
        <f t="shared" si="238"/>
        <v>-9.7024610353659178</v>
      </c>
      <c r="AA572" s="72">
        <f t="shared" si="239"/>
        <v>170.29753896463407</v>
      </c>
      <c r="AB572" s="110">
        <f t="shared" ca="1" si="240"/>
        <v>-22.689150326408054</v>
      </c>
      <c r="AC572" s="111">
        <f t="shared" ca="1" si="241"/>
        <v>-89.970782830668526</v>
      </c>
      <c r="AD572" s="72">
        <f t="shared" ca="1" si="242"/>
        <v>90.029217169331474</v>
      </c>
    </row>
    <row r="573" spans="1:30">
      <c r="A573" s="118">
        <v>98862</v>
      </c>
      <c r="B573" s="101">
        <f t="shared" ca="1" si="216"/>
        <v>5069.7182425829524</v>
      </c>
      <c r="C573" s="102">
        <f t="shared" ca="1" si="217"/>
        <v>1.5705990771729974</v>
      </c>
      <c r="D573" s="102">
        <f t="shared" si="218"/>
        <v>131.38089385822886</v>
      </c>
      <c r="E573" s="103">
        <f t="shared" si="219"/>
        <v>1.5631847964833179</v>
      </c>
      <c r="F573" s="101">
        <f t="shared" si="220"/>
        <v>7454.0192486211072</v>
      </c>
      <c r="G573" s="104">
        <f t="shared" si="221"/>
        <v>1.5706621709831599</v>
      </c>
      <c r="H573" s="113">
        <f t="shared" si="222"/>
        <v>9.3710326571113196</v>
      </c>
      <c r="I573" s="114">
        <f t="shared" si="223"/>
        <v>1.4638809279414999</v>
      </c>
      <c r="J573" s="101">
        <f t="shared" si="224"/>
        <v>1.0019273926468069</v>
      </c>
      <c r="K573" s="104">
        <f t="shared" si="225"/>
        <v>6.2037118369459375E-2</v>
      </c>
      <c r="L573" s="102">
        <f t="shared" si="226"/>
        <v>1</v>
      </c>
      <c r="M573" s="103">
        <f t="shared" si="227"/>
        <v>3.2611333919251503E-9</v>
      </c>
      <c r="N573" s="101">
        <f t="shared" si="228"/>
        <v>1</v>
      </c>
      <c r="O573" s="104">
        <f t="shared" si="229"/>
        <v>5.21781342708024E-10</v>
      </c>
      <c r="P573" s="105">
        <f t="shared" ca="1" si="230"/>
        <v>5.6831796113431272</v>
      </c>
      <c r="Q573" s="106">
        <f t="shared" ca="1" si="231"/>
        <v>1.5668143031823172</v>
      </c>
      <c r="R573" s="107">
        <f t="shared" ca="1" si="232"/>
        <v>-32.65349640824099</v>
      </c>
      <c r="S573" s="108">
        <f t="shared" ca="1" si="233"/>
        <v>-99.86923341505701</v>
      </c>
      <c r="T573" s="116">
        <f t="shared" ca="1" si="234"/>
        <v>80.13076658494299</v>
      </c>
      <c r="V573" s="72">
        <f t="shared" ca="1" si="235"/>
        <v>98862</v>
      </c>
      <c r="W573" s="72">
        <f t="shared" si="236"/>
        <v>9773695044</v>
      </c>
      <c r="Y573" s="110">
        <f t="shared" si="237"/>
        <v>6.0536134749628108</v>
      </c>
      <c r="Z573" s="111">
        <f t="shared" si="238"/>
        <v>-9.6725794672705625</v>
      </c>
      <c r="AA573" s="72">
        <f t="shared" si="239"/>
        <v>170.32742053272943</v>
      </c>
      <c r="AB573" s="110">
        <f t="shared" ca="1" si="240"/>
        <v>-22.789509536322296</v>
      </c>
      <c r="AC573" s="111">
        <f t="shared" ca="1" si="241"/>
        <v>-90.196653947786459</v>
      </c>
      <c r="AD573" s="72">
        <f t="shared" ca="1" si="242"/>
        <v>89.803346052213541</v>
      </c>
    </row>
    <row r="574" spans="1:30">
      <c r="A574" s="118">
        <v>100000</v>
      </c>
      <c r="B574" s="101">
        <f t="shared" ca="1" si="216"/>
        <v>5128.0757422983797</v>
      </c>
      <c r="C574" s="102">
        <f t="shared" ca="1" si="217"/>
        <v>1.5706013218736374</v>
      </c>
      <c r="D574" s="102">
        <f t="shared" si="218"/>
        <v>132.89313156994663</v>
      </c>
      <c r="E574" s="103">
        <f t="shared" si="219"/>
        <v>1.5632714124096454</v>
      </c>
      <c r="F574" s="101">
        <f t="shared" si="220"/>
        <v>7539.8224263145603</v>
      </c>
      <c r="G574" s="104">
        <f t="shared" si="221"/>
        <v>1.5706636976762796</v>
      </c>
      <c r="H574" s="113">
        <f t="shared" si="222"/>
        <v>9.4776811197046626</v>
      </c>
      <c r="I574" s="114">
        <f t="shared" si="223"/>
        <v>1.465088530294518</v>
      </c>
      <c r="J574" s="101">
        <f t="shared" si="224"/>
        <v>1.0019719765299895</v>
      </c>
      <c r="K574" s="104">
        <f t="shared" si="225"/>
        <v>6.2749364897807941E-2</v>
      </c>
      <c r="L574" s="102">
        <f t="shared" si="226"/>
        <v>1</v>
      </c>
      <c r="M574" s="103">
        <f t="shared" si="227"/>
        <v>3.2986722825000003E-9</v>
      </c>
      <c r="N574" s="101">
        <f t="shared" si="228"/>
        <v>1</v>
      </c>
      <c r="O574" s="104">
        <f t="shared" si="229"/>
        <v>5.2778756520000007E-10</v>
      </c>
      <c r="P574" s="105">
        <f t="shared" ca="1" si="230"/>
        <v>5.7485530878392783</v>
      </c>
      <c r="Q574" s="106" t="e">
        <f t="shared" ca="1" si="231"/>
        <v>#DIV/0!</v>
      </c>
      <c r="R574" s="107">
        <f t="shared" ca="1" si="232"/>
        <v>-32.75435122121683</v>
      </c>
      <c r="S574" s="108" t="e">
        <f t="shared" ca="1" si="233"/>
        <v>#DIV/0!</v>
      </c>
      <c r="T574" s="116" t="e">
        <f t="shared" ca="1" si="234"/>
        <v>#DIV/0!</v>
      </c>
      <c r="V574" s="72">
        <f t="shared" ca="1" si="235"/>
        <v>100000</v>
      </c>
      <c r="W574" s="72">
        <f t="shared" si="236"/>
        <v>10000000000</v>
      </c>
      <c r="Y574" s="110">
        <f t="shared" si="237"/>
        <v>6.0521076462518728</v>
      </c>
      <c r="Z574" s="111">
        <f t="shared" si="238"/>
        <v>-9.6442851403931265</v>
      </c>
      <c r="AA574" s="72">
        <f t="shared" si="239"/>
        <v>170.35571485960688</v>
      </c>
      <c r="AB574" s="110">
        <f t="shared" ca="1" si="240"/>
        <v>-22.888858520587195</v>
      </c>
      <c r="AC574" s="111" t="e">
        <f t="shared" ca="1" si="241"/>
        <v>#DIV/0!</v>
      </c>
      <c r="AD574" s="72" t="e">
        <f t="shared" ca="1" si="242"/>
        <v>#DIV/0!</v>
      </c>
    </row>
    <row r="575" spans="1:30">
      <c r="A575" s="118">
        <v>101165</v>
      </c>
      <c r="B575" s="101">
        <f t="shared" ca="1" si="216"/>
        <v>5187.8178224374296</v>
      </c>
      <c r="C575" s="102">
        <f t="shared" ca="1" si="217"/>
        <v>1.5706035675191434</v>
      </c>
      <c r="D575" s="102">
        <f t="shared" si="218"/>
        <v>134.44124939304777</v>
      </c>
      <c r="E575" s="103">
        <f t="shared" si="219"/>
        <v>1.5633580649082794</v>
      </c>
      <c r="F575" s="101">
        <f t="shared" si="220"/>
        <v>7627.6613560448932</v>
      </c>
      <c r="G575" s="104">
        <f t="shared" si="221"/>
        <v>1.5706652250120321</v>
      </c>
      <c r="H575" s="113">
        <f t="shared" si="222"/>
        <v>9.5868739008817254</v>
      </c>
      <c r="I575" s="114">
        <f t="shared" si="223"/>
        <v>1.4662969507005117</v>
      </c>
      <c r="J575" s="101">
        <f t="shared" si="224"/>
        <v>1.0020181446836049</v>
      </c>
      <c r="K575" s="104">
        <f t="shared" si="225"/>
        <v>6.3478444034436601E-2</v>
      </c>
      <c r="L575" s="102">
        <f t="shared" si="226"/>
        <v>1</v>
      </c>
      <c r="M575" s="103">
        <f t="shared" si="227"/>
        <v>3.3371018145911254E-9</v>
      </c>
      <c r="N575" s="101">
        <f t="shared" si="228"/>
        <v>1</v>
      </c>
      <c r="O575" s="104">
        <f t="shared" si="229"/>
        <v>5.3393629033458001E-10</v>
      </c>
      <c r="P575" s="105">
        <f t="shared" ca="1" si="230"/>
        <v>5.8155709524129433</v>
      </c>
      <c r="Q575" s="106">
        <f t="shared" ca="1" si="231"/>
        <v>1.5748261608598351</v>
      </c>
      <c r="R575" s="107">
        <f t="shared" ca="1" si="232"/>
        <v>-32.856540574175675</v>
      </c>
      <c r="S575" s="108">
        <f t="shared" ca="1" si="233"/>
        <v>-100.2629377244145</v>
      </c>
      <c r="T575" s="116">
        <f t="shared" ca="1" si="234"/>
        <v>79.737062275585501</v>
      </c>
      <c r="V575" s="72">
        <f t="shared" ca="1" si="235"/>
        <v>101165</v>
      </c>
      <c r="W575" s="72">
        <f t="shared" si="236"/>
        <v>10234357225</v>
      </c>
      <c r="Y575" s="110">
        <f t="shared" si="237"/>
        <v>6.0506001656513533</v>
      </c>
      <c r="Z575" s="111">
        <f t="shared" si="238"/>
        <v>-9.6169084167237564</v>
      </c>
      <c r="AA575" s="72">
        <f t="shared" si="239"/>
        <v>170.38309158327624</v>
      </c>
      <c r="AB575" s="110">
        <f t="shared" ca="1" si="240"/>
        <v>-22.989540392945528</v>
      </c>
      <c r="AC575" s="111">
        <f t="shared" ca="1" si="241"/>
        <v>-90.646029307690739</v>
      </c>
      <c r="AD575" s="72">
        <f t="shared" ca="1" si="242"/>
        <v>89.353970692309261</v>
      </c>
    </row>
    <row r="576" spans="1:30">
      <c r="A576" s="118">
        <v>102330</v>
      </c>
      <c r="B576" s="101">
        <f t="shared" ca="1" si="216"/>
        <v>5247.5599026020445</v>
      </c>
      <c r="C576" s="102">
        <f t="shared" ca="1" si="217"/>
        <v>1.5706057620324902</v>
      </c>
      <c r="D576" s="102">
        <f t="shared" si="218"/>
        <v>135.98936820263802</v>
      </c>
      <c r="E576" s="103">
        <f t="shared" si="219"/>
        <v>1.5634427444832593</v>
      </c>
      <c r="F576" s="101">
        <f t="shared" si="220"/>
        <v>7715.5002857926129</v>
      </c>
      <c r="G576" s="104">
        <f t="shared" si="221"/>
        <v>1.5706667175711575</v>
      </c>
      <c r="H576" s="113">
        <f t="shared" si="222"/>
        <v>9.6960803662538275</v>
      </c>
      <c r="I576" s="114">
        <f t="shared" si="223"/>
        <v>1.4674781520426805</v>
      </c>
      <c r="J576" s="101">
        <f t="shared" si="224"/>
        <v>1.0020648454171206</v>
      </c>
      <c r="K576" s="104">
        <f t="shared" si="225"/>
        <v>6.4207455601805269E-2</v>
      </c>
      <c r="L576" s="102">
        <f t="shared" si="226"/>
        <v>1</v>
      </c>
      <c r="M576" s="103">
        <f t="shared" si="227"/>
        <v>3.3755313466822504E-9</v>
      </c>
      <c r="N576" s="101">
        <f t="shared" si="228"/>
        <v>1</v>
      </c>
      <c r="O576" s="104">
        <f t="shared" si="229"/>
        <v>5.4008501546916006E-10</v>
      </c>
      <c r="P576" s="105">
        <f t="shared" ca="1" si="230"/>
        <v>5.8826832756375467</v>
      </c>
      <c r="Q576" s="106">
        <f t="shared" ca="1" si="231"/>
        <v>1.578810253842247</v>
      </c>
      <c r="R576" s="107">
        <f t="shared" ca="1" si="232"/>
        <v>-32.957682912611659</v>
      </c>
      <c r="S576" s="108">
        <f t="shared" ca="1" si="233"/>
        <v>-100.46066034166984</v>
      </c>
      <c r="T576" s="116">
        <f t="shared" ca="1" si="234"/>
        <v>79.539339658330164</v>
      </c>
      <c r="V576" s="72">
        <f t="shared" ca="1" si="235"/>
        <v>102330</v>
      </c>
      <c r="W576" s="72">
        <f t="shared" si="236"/>
        <v>10471428900</v>
      </c>
      <c r="Y576" s="110">
        <f t="shared" si="237"/>
        <v>6.0491254210913503</v>
      </c>
      <c r="Z576" s="111">
        <f t="shared" si="238"/>
        <v>-9.5910853665482279</v>
      </c>
      <c r="AA576" s="72">
        <f t="shared" si="239"/>
        <v>170.40891463345179</v>
      </c>
      <c r="AB576" s="110">
        <f t="shared" ca="1" si="240"/>
        <v>-23.089207986821503</v>
      </c>
      <c r="AC576" s="111">
        <f t="shared" ca="1" si="241"/>
        <v>-90.869574975121637</v>
      </c>
      <c r="AD576" s="72">
        <f t="shared" ca="1" si="242"/>
        <v>89.130425024878363</v>
      </c>
    </row>
    <row r="577" spans="1:30">
      <c r="A577" s="118">
        <v>103520</v>
      </c>
      <c r="B577" s="101">
        <f t="shared" ca="1" si="216"/>
        <v>5308.5840016798102</v>
      </c>
      <c r="C577" s="102">
        <f t="shared" ca="1" si="217"/>
        <v>1.5706079526435979</v>
      </c>
      <c r="D577" s="102">
        <f t="shared" si="218"/>
        <v>137.57070942975139</v>
      </c>
      <c r="E577" s="103">
        <f t="shared" si="219"/>
        <v>1.5635272735878449</v>
      </c>
      <c r="F577" s="101">
        <f t="shared" si="220"/>
        <v>7805.2241711316601</v>
      </c>
      <c r="G577" s="104">
        <f t="shared" si="221"/>
        <v>1.5706682074762441</v>
      </c>
      <c r="H577" s="113">
        <f t="shared" si="222"/>
        <v>9.807643970522582</v>
      </c>
      <c r="I577" s="114">
        <f t="shared" si="223"/>
        <v>1.4686575416335945</v>
      </c>
      <c r="J577" s="101">
        <f t="shared" si="224"/>
        <v>1.0021130980805295</v>
      </c>
      <c r="K577" s="104">
        <f t="shared" si="225"/>
        <v>6.4952040638591654E-2</v>
      </c>
      <c r="L577" s="102">
        <f t="shared" si="226"/>
        <v>1</v>
      </c>
      <c r="M577" s="103">
        <f t="shared" si="227"/>
        <v>3.4147855468440005E-9</v>
      </c>
      <c r="N577" s="101">
        <f t="shared" si="228"/>
        <v>1</v>
      </c>
      <c r="O577" s="104">
        <f t="shared" si="229"/>
        <v>5.4636568749504004E-10</v>
      </c>
      <c r="P577" s="105">
        <f t="shared" ca="1" si="230"/>
        <v>5.9513333488101683</v>
      </c>
      <c r="Q577" s="106">
        <f t="shared" ca="1" si="231"/>
        <v>1.5828340948053576</v>
      </c>
      <c r="R577" s="107">
        <f t="shared" ca="1" si="232"/>
        <v>-33.059938798193343</v>
      </c>
      <c r="S577" s="108">
        <f t="shared" ca="1" si="233"/>
        <v>-100.66166469586939</v>
      </c>
      <c r="T577" s="116">
        <f t="shared" ca="1" si="234"/>
        <v>79.338335304130609</v>
      </c>
      <c r="V577" s="72">
        <f t="shared" ca="1" si="235"/>
        <v>103520</v>
      </c>
      <c r="W577" s="72">
        <f t="shared" si="236"/>
        <v>10716390400</v>
      </c>
      <c r="Y577" s="110">
        <f t="shared" si="237"/>
        <v>6.047651105984623</v>
      </c>
      <c r="Z577" s="111">
        <f t="shared" si="238"/>
        <v>-9.5662582640393712</v>
      </c>
      <c r="AA577" s="72">
        <f t="shared" si="239"/>
        <v>170.43374173596064</v>
      </c>
      <c r="AB577" s="110">
        <f t="shared" ca="1" si="240"/>
        <v>-23.189989557296464</v>
      </c>
      <c r="AC577" s="111">
        <f t="shared" ca="1" si="241"/>
        <v>-91.09540643183</v>
      </c>
      <c r="AD577" s="72">
        <f t="shared" ca="1" si="242"/>
        <v>88.90459356817</v>
      </c>
    </row>
    <row r="578" spans="1:30">
      <c r="A578" s="118">
        <v>104710</v>
      </c>
      <c r="B578" s="101">
        <f t="shared" ca="1" si="216"/>
        <v>5369.6081007824723</v>
      </c>
      <c r="C578" s="102">
        <f t="shared" ca="1" si="217"/>
        <v>1.5706100934633367</v>
      </c>
      <c r="D578" s="102">
        <f t="shared" si="218"/>
        <v>139.15205161748972</v>
      </c>
      <c r="E578" s="103">
        <f t="shared" si="219"/>
        <v>1.5636098814933204</v>
      </c>
      <c r="F578" s="101">
        <f t="shared" si="220"/>
        <v>7894.9480564876412</v>
      </c>
      <c r="G578" s="104">
        <f t="shared" si="221"/>
        <v>1.570669663516618</v>
      </c>
      <c r="H578" s="113">
        <f t="shared" si="222"/>
        <v>9.919220909949118</v>
      </c>
      <c r="I578" s="114">
        <f t="shared" si="223"/>
        <v>1.4698103999318934</v>
      </c>
      <c r="J578" s="101">
        <f t="shared" si="224"/>
        <v>1.0021619062686511</v>
      </c>
      <c r="K578" s="104">
        <f t="shared" si="225"/>
        <v>6.5696553561211041E-2</v>
      </c>
      <c r="L578" s="102">
        <f t="shared" si="226"/>
        <v>1</v>
      </c>
      <c r="M578" s="103">
        <f t="shared" si="227"/>
        <v>3.4540397470057502E-9</v>
      </c>
      <c r="N578" s="101">
        <f t="shared" si="228"/>
        <v>1</v>
      </c>
      <c r="O578" s="104">
        <f t="shared" si="229"/>
        <v>5.5264635952092001E-10</v>
      </c>
      <c r="P578" s="105">
        <f t="shared" ca="1" si="230"/>
        <v>6.0200821126311288</v>
      </c>
      <c r="Q578" s="106">
        <f t="shared" ca="1" si="231"/>
        <v>1.5868131403237065</v>
      </c>
      <c r="R578" s="107">
        <f t="shared" ca="1" si="232"/>
        <v>-33.161150296421809</v>
      </c>
      <c r="S578" s="108">
        <f t="shared" ca="1" si="233"/>
        <v>-100.8617237428562</v>
      </c>
      <c r="T578" s="116">
        <f t="shared" ca="1" si="234"/>
        <v>79.138276257143801</v>
      </c>
      <c r="V578" s="72">
        <f t="shared" ca="1" si="235"/>
        <v>104710</v>
      </c>
      <c r="W578" s="72">
        <f t="shared" si="236"/>
        <v>10964184100</v>
      </c>
      <c r="Y578" s="110">
        <f t="shared" si="237"/>
        <v>6.0462075531286636</v>
      </c>
      <c r="Z578" s="111">
        <f t="shared" si="238"/>
        <v>-9.5429452204815917</v>
      </c>
      <c r="AA578" s="72">
        <f t="shared" si="239"/>
        <v>170.45705477951842</v>
      </c>
      <c r="AB578" s="110">
        <f t="shared" ca="1" si="240"/>
        <v>-23.289757502668969</v>
      </c>
      <c r="AC578" s="111">
        <f t="shared" ca="1" si="241"/>
        <v>-91.318778522374657</v>
      </c>
      <c r="AD578" s="72">
        <f t="shared" ca="1" si="242"/>
        <v>88.681221477625343</v>
      </c>
    </row>
    <row r="579" spans="1:30">
      <c r="A579" s="118">
        <v>105930</v>
      </c>
      <c r="B579" s="101">
        <f t="shared" ca="1" si="216"/>
        <v>5432.1706225765547</v>
      </c>
      <c r="C579" s="102">
        <f t="shared" ca="1" si="217"/>
        <v>1.5706122383199337</v>
      </c>
      <c r="D579" s="102">
        <f t="shared" si="218"/>
        <v>140.77326053803344</v>
      </c>
      <c r="E579" s="103">
        <f t="shared" si="219"/>
        <v>1.5636926452675286</v>
      </c>
      <c r="F579" s="101">
        <f t="shared" si="220"/>
        <v>7986.9338885502475</v>
      </c>
      <c r="G579" s="104">
        <f t="shared" si="221"/>
        <v>1.5706711223025887</v>
      </c>
      <c r="H579" s="113">
        <f t="shared" si="222"/>
        <v>10.033624091342224</v>
      </c>
      <c r="I579" s="114">
        <f t="shared" si="223"/>
        <v>1.4709657023052076</v>
      </c>
      <c r="J579" s="101">
        <f t="shared" si="224"/>
        <v>1.002212521538806</v>
      </c>
      <c r="K579" s="104">
        <f t="shared" si="225"/>
        <v>6.6459760000140797E-2</v>
      </c>
      <c r="L579" s="102">
        <f t="shared" si="226"/>
        <v>1</v>
      </c>
      <c r="M579" s="103">
        <f t="shared" si="227"/>
        <v>3.4942835488522505E-9</v>
      </c>
      <c r="N579" s="101">
        <f t="shared" si="228"/>
        <v>1</v>
      </c>
      <c r="O579" s="104">
        <f t="shared" si="229"/>
        <v>5.5908536781636006E-10</v>
      </c>
      <c r="P579" s="105">
        <f t="shared" ca="1" si="230"/>
        <v>6.0906666130254852</v>
      </c>
      <c r="Q579" s="106">
        <f t="shared" ca="1" si="231"/>
        <v>1.5908474444985981</v>
      </c>
      <c r="R579" s="107">
        <f t="shared" ca="1" si="232"/>
        <v>-33.263853347608816</v>
      </c>
      <c r="S579" s="108">
        <f t="shared" ca="1" si="233"/>
        <v>-101.06587135999278</v>
      </c>
      <c r="T579" s="116">
        <f t="shared" ca="1" si="234"/>
        <v>78.934128640007216</v>
      </c>
      <c r="V579" s="72">
        <f t="shared" ca="1" si="235"/>
        <v>105930</v>
      </c>
      <c r="W579" s="72">
        <f t="shared" si="236"/>
        <v>11221164900</v>
      </c>
      <c r="Y579" s="110">
        <f t="shared" si="237"/>
        <v>6.0447578957860637</v>
      </c>
      <c r="Z579" s="111">
        <f t="shared" si="238"/>
        <v>-9.5205633585940177</v>
      </c>
      <c r="AA579" s="72">
        <f t="shared" si="239"/>
        <v>170.47943664140598</v>
      </c>
      <c r="AB579" s="110">
        <f t="shared" ca="1" si="240"/>
        <v>-23.391010896513372</v>
      </c>
      <c r="AC579" s="111">
        <f t="shared" ca="1" si="241"/>
        <v>-91.545308001398752</v>
      </c>
      <c r="AD579" s="72">
        <f t="shared" ca="1" si="242"/>
        <v>88.454691998601248</v>
      </c>
    </row>
    <row r="580" spans="1:30">
      <c r="A580" s="118">
        <v>107150</v>
      </c>
      <c r="B580" s="101">
        <f t="shared" ca="1" si="216"/>
        <v>5494.7331443950579</v>
      </c>
      <c r="C580" s="102">
        <f t="shared" ca="1" si="217"/>
        <v>1.5706143343342545</v>
      </c>
      <c r="D580" s="102">
        <f t="shared" si="218"/>
        <v>142.39447040089462</v>
      </c>
      <c r="E580" s="103">
        <f t="shared" si="219"/>
        <v>1.5637735244543935</v>
      </c>
      <c r="F580" s="101">
        <f t="shared" si="220"/>
        <v>8078.9197206294639</v>
      </c>
      <c r="G580" s="104">
        <f t="shared" si="221"/>
        <v>1.5706725478693553</v>
      </c>
      <c r="H580" s="113">
        <f t="shared" si="222"/>
        <v>10.148040362889624</v>
      </c>
      <c r="I580" s="114">
        <f t="shared" si="223"/>
        <v>1.4720949547456033</v>
      </c>
      <c r="J580" s="101">
        <f t="shared" si="224"/>
        <v>1.0022637205226275</v>
      </c>
      <c r="K580" s="104">
        <f t="shared" si="225"/>
        <v>6.7222888909267059E-2</v>
      </c>
      <c r="L580" s="102">
        <f t="shared" si="226"/>
        <v>1</v>
      </c>
      <c r="M580" s="103">
        <f t="shared" si="227"/>
        <v>3.5345273506987503E-9</v>
      </c>
      <c r="N580" s="101">
        <f t="shared" si="228"/>
        <v>1</v>
      </c>
      <c r="O580" s="104">
        <f t="shared" si="229"/>
        <v>5.6552437611179999E-10</v>
      </c>
      <c r="P580" s="105">
        <f t="shared" ca="1" si="230"/>
        <v>6.1613551192681948</v>
      </c>
      <c r="Q580" s="106">
        <f t="shared" ca="1" si="231"/>
        <v>1.5948375508047103</v>
      </c>
      <c r="R580" s="107">
        <f t="shared" ca="1" si="232"/>
        <v>-33.365507142558229</v>
      </c>
      <c r="S580" s="108">
        <f t="shared" ca="1" si="233"/>
        <v>-101.26907801199043</v>
      </c>
      <c r="T580" s="116">
        <f t="shared" ca="1" si="234"/>
        <v>78.73092198800957</v>
      </c>
      <c r="V580" s="72">
        <f t="shared" ca="1" si="235"/>
        <v>107150</v>
      </c>
      <c r="W580" s="72">
        <f t="shared" si="236"/>
        <v>11481122500</v>
      </c>
      <c r="Y580" s="110">
        <f t="shared" si="237"/>
        <v>6.0433373141749049</v>
      </c>
      <c r="Z580" s="111">
        <f t="shared" si="238"/>
        <v>-9.4996677024702318</v>
      </c>
      <c r="AA580" s="72">
        <f t="shared" si="239"/>
        <v>170.50033229752978</v>
      </c>
      <c r="AB580" s="110">
        <f t="shared" ca="1" si="240"/>
        <v>-23.491244109851635</v>
      </c>
      <c r="AC580" s="111">
        <f t="shared" ca="1" si="241"/>
        <v>-91.769410309520168</v>
      </c>
      <c r="AD580" s="72">
        <f t="shared" ca="1" si="242"/>
        <v>88.230589690479832</v>
      </c>
    </row>
    <row r="581" spans="1:30">
      <c r="A581" s="118">
        <v>108400</v>
      </c>
      <c r="B581" s="101">
        <f t="shared" ca="1" si="216"/>
        <v>5558.8340889056954</v>
      </c>
      <c r="C581" s="102">
        <f t="shared" ca="1" si="217"/>
        <v>1.570616432955757</v>
      </c>
      <c r="D581" s="102">
        <f t="shared" si="218"/>
        <v>144.05554702414736</v>
      </c>
      <c r="E581" s="103">
        <f t="shared" si="219"/>
        <v>1.5638545043369201</v>
      </c>
      <c r="F581" s="101">
        <f t="shared" si="220"/>
        <v>8173.1674994157947</v>
      </c>
      <c r="G581" s="104">
        <f t="shared" si="221"/>
        <v>1.5706739752093495</v>
      </c>
      <c r="H581" s="113">
        <f t="shared" si="222"/>
        <v>10.265283268551533</v>
      </c>
      <c r="I581" s="114">
        <f t="shared" si="223"/>
        <v>1.47322586491259</v>
      </c>
      <c r="J581" s="101">
        <f t="shared" si="224"/>
        <v>1.002316783824879</v>
      </c>
      <c r="K581" s="104">
        <f t="shared" si="225"/>
        <v>6.8004701953470734E-2</v>
      </c>
      <c r="L581" s="102">
        <f t="shared" si="226"/>
        <v>1</v>
      </c>
      <c r="M581" s="103">
        <f t="shared" si="227"/>
        <v>3.5757607542300005E-9</v>
      </c>
      <c r="N581" s="101">
        <f t="shared" si="228"/>
        <v>1</v>
      </c>
      <c r="O581" s="104">
        <f t="shared" si="229"/>
        <v>5.721217206768E-10</v>
      </c>
      <c r="P581" s="105">
        <f t="shared" ca="1" si="230"/>
        <v>6.233889935730093</v>
      </c>
      <c r="Q581" s="106">
        <f t="shared" ca="1" si="231"/>
        <v>1.5988813615087563</v>
      </c>
      <c r="R581" s="107">
        <f t="shared" ca="1" si="232"/>
        <v>-33.468596778688905</v>
      </c>
      <c r="S581" s="108">
        <f t="shared" ca="1" si="233"/>
        <v>-101.47633172217702</v>
      </c>
      <c r="T581" s="116">
        <f t="shared" ca="1" si="234"/>
        <v>78.523668277822978</v>
      </c>
      <c r="V581" s="72">
        <f t="shared" ca="1" si="235"/>
        <v>108400</v>
      </c>
      <c r="W581" s="72">
        <f t="shared" si="236"/>
        <v>11750560000</v>
      </c>
      <c r="Y581" s="110">
        <f t="shared" si="237"/>
        <v>6.041910374931561</v>
      </c>
      <c r="Z581" s="111">
        <f t="shared" si="238"/>
        <v>-9.4797476892449364</v>
      </c>
      <c r="AA581" s="72">
        <f t="shared" si="239"/>
        <v>170.52025231075507</v>
      </c>
      <c r="AB581" s="110">
        <f t="shared" ca="1" si="240"/>
        <v>-23.592906806738966</v>
      </c>
      <c r="AC581" s="111">
        <f t="shared" ca="1" si="241"/>
        <v>-91.996584032932077</v>
      </c>
      <c r="AD581" s="72">
        <f t="shared" ca="1" si="242"/>
        <v>88.003415967067923</v>
      </c>
    </row>
    <row r="582" spans="1:30">
      <c r="A582" s="118">
        <v>109650</v>
      </c>
      <c r="B582" s="101">
        <f t="shared" ca="1" si="216"/>
        <v>5622.9350334402579</v>
      </c>
      <c r="C582" s="102">
        <f t="shared" ca="1" si="217"/>
        <v>1.5706184837290735</v>
      </c>
      <c r="D582" s="102">
        <f t="shared" si="218"/>
        <v>145.7166245705416</v>
      </c>
      <c r="E582" s="103">
        <f t="shared" si="219"/>
        <v>1.5639336379808602</v>
      </c>
      <c r="F582" s="101">
        <f t="shared" si="220"/>
        <v>8267.4152782183955</v>
      </c>
      <c r="G582" s="104">
        <f t="shared" si="221"/>
        <v>1.5706753700062528</v>
      </c>
      <c r="H582" s="113">
        <f t="shared" si="222"/>
        <v>10.382539006557396</v>
      </c>
      <c r="I582" s="114">
        <f t="shared" si="223"/>
        <v>1.4743312324825917</v>
      </c>
      <c r="J582" s="101">
        <f t="shared" si="224"/>
        <v>1.0023704597097753</v>
      </c>
      <c r="K582" s="104">
        <f t="shared" si="225"/>
        <v>6.8786431744915874E-2</v>
      </c>
      <c r="L582" s="102">
        <f t="shared" si="226"/>
        <v>1</v>
      </c>
      <c r="M582" s="103">
        <f t="shared" si="227"/>
        <v>3.6169941577612504E-9</v>
      </c>
      <c r="N582" s="101">
        <f t="shared" si="228"/>
        <v>1</v>
      </c>
      <c r="O582" s="104">
        <f t="shared" si="229"/>
        <v>5.787190652418E-10</v>
      </c>
      <c r="P582" s="105">
        <f t="shared" ca="1" si="230"/>
        <v>6.3065343626078247</v>
      </c>
      <c r="Q582" s="106">
        <f t="shared" ca="1" si="231"/>
        <v>1.6028816140203952</v>
      </c>
      <c r="R582" s="107">
        <f t="shared" ca="1" si="232"/>
        <v>-33.570633786808429</v>
      </c>
      <c r="S582" s="108">
        <f t="shared" ca="1" si="233"/>
        <v>-101.68264962034586</v>
      </c>
      <c r="T582" s="116">
        <f t="shared" ca="1" si="234"/>
        <v>78.317350379654144</v>
      </c>
      <c r="V582" s="72">
        <f t="shared" ca="1" si="235"/>
        <v>109650</v>
      </c>
      <c r="W582" s="72">
        <f t="shared" si="236"/>
        <v>12023122500</v>
      </c>
      <c r="Y582" s="110">
        <f t="shared" si="237"/>
        <v>6.0405108325926022</v>
      </c>
      <c r="Z582" s="111">
        <f t="shared" si="238"/>
        <v>-9.4612845244128998</v>
      </c>
      <c r="AA582" s="72">
        <f t="shared" si="239"/>
        <v>170.53871547558711</v>
      </c>
      <c r="AB582" s="110">
        <f t="shared" ca="1" si="240"/>
        <v>-23.693544272519528</v>
      </c>
      <c r="AC582" s="111">
        <f t="shared" ca="1" si="241"/>
        <v>-92.221365095932953</v>
      </c>
      <c r="AD582" s="72">
        <f t="shared" ca="1" si="242"/>
        <v>87.778634904067047</v>
      </c>
    </row>
    <row r="583" spans="1:30">
      <c r="A583" s="118">
        <v>110925</v>
      </c>
      <c r="B583" s="101">
        <f t="shared" ca="1" si="216"/>
        <v>5688.3179968893191</v>
      </c>
      <c r="C583" s="102">
        <f t="shared" ca="1" si="217"/>
        <v>1.5706205279022014</v>
      </c>
      <c r="D583" s="102">
        <f t="shared" si="218"/>
        <v>147.41092458652057</v>
      </c>
      <c r="E583" s="103">
        <f t="shared" si="219"/>
        <v>1.5640125170273462</v>
      </c>
      <c r="F583" s="101">
        <f t="shared" si="220"/>
        <v>8363.5480126132425</v>
      </c>
      <c r="G583" s="104">
        <f t="shared" si="221"/>
        <v>1.5706767603141549</v>
      </c>
      <c r="H583" s="113">
        <f t="shared" si="222"/>
        <v>10.502152633454999</v>
      </c>
      <c r="I583" s="114">
        <f t="shared" si="223"/>
        <v>1.4754332779237675</v>
      </c>
      <c r="J583" s="101">
        <f t="shared" si="224"/>
        <v>1.0024258400929524</v>
      </c>
      <c r="K583" s="104">
        <f t="shared" si="225"/>
        <v>6.9583709388302495E-2</v>
      </c>
      <c r="L583" s="102">
        <f t="shared" si="226"/>
        <v>1</v>
      </c>
      <c r="M583" s="103">
        <f t="shared" si="227"/>
        <v>3.6590522293631254E-9</v>
      </c>
      <c r="N583" s="101">
        <f t="shared" si="228"/>
        <v>1</v>
      </c>
      <c r="O583" s="104">
        <f t="shared" si="229"/>
        <v>5.8544835669810005E-10</v>
      </c>
      <c r="P583" s="105">
        <f t="shared" ca="1" si="230"/>
        <v>6.3807448694924336</v>
      </c>
      <c r="Q583" s="106">
        <f t="shared" ca="1" si="231"/>
        <v>1.6069183920138388</v>
      </c>
      <c r="R583" s="107">
        <f t="shared" ca="1" si="232"/>
        <v>-33.673651543509777</v>
      </c>
      <c r="S583" s="108">
        <f t="shared" ca="1" si="233"/>
        <v>-101.89215539668402</v>
      </c>
      <c r="T583" s="116">
        <f t="shared" ca="1" si="234"/>
        <v>78.107844603315982</v>
      </c>
      <c r="V583" s="72">
        <f t="shared" ca="1" si="235"/>
        <v>110925</v>
      </c>
      <c r="W583" s="72">
        <f t="shared" si="236"/>
        <v>12304355625</v>
      </c>
      <c r="Y583" s="110">
        <f t="shared" si="237"/>
        <v>6.0391100180766211</v>
      </c>
      <c r="Z583" s="111">
        <f t="shared" si="238"/>
        <v>-9.443902272599054</v>
      </c>
      <c r="AA583" s="72">
        <f t="shared" si="239"/>
        <v>170.55609772740095</v>
      </c>
      <c r="AB583" s="110">
        <f t="shared" ca="1" si="240"/>
        <v>-23.795161214704894</v>
      </c>
      <c r="AC583" s="111">
        <f t="shared" ca="1" si="241"/>
        <v>-92.448253124084985</v>
      </c>
      <c r="AD583" s="72">
        <f t="shared" ca="1" si="242"/>
        <v>87.551746875915015</v>
      </c>
    </row>
    <row r="584" spans="1:30">
      <c r="A584" s="118">
        <v>112200</v>
      </c>
      <c r="B584" s="101">
        <f t="shared" ca="1" si="216"/>
        <v>5753.7009603616098</v>
      </c>
      <c r="C584" s="102">
        <f t="shared" ca="1" si="217"/>
        <v>1.5706225256168507</v>
      </c>
      <c r="D584" s="102">
        <f t="shared" si="218"/>
        <v>149.10522549883217</v>
      </c>
      <c r="E584" s="103">
        <f t="shared" si="219"/>
        <v>1.5640896034497993</v>
      </c>
      <c r="F584" s="101">
        <f t="shared" si="220"/>
        <v>8459.6807470238873</v>
      </c>
      <c r="G584" s="104">
        <f t="shared" si="221"/>
        <v>1.5706781190241506</v>
      </c>
      <c r="H584" s="113">
        <f t="shared" si="222"/>
        <v>10.621778727981384</v>
      </c>
      <c r="I584" s="114">
        <f t="shared" si="223"/>
        <v>1.4765105014255817</v>
      </c>
      <c r="J584" s="101">
        <f t="shared" si="224"/>
        <v>1.0024818575991221</v>
      </c>
      <c r="K584" s="104">
        <f t="shared" si="225"/>
        <v>7.0380898436504205E-2</v>
      </c>
      <c r="L584" s="102">
        <f t="shared" si="226"/>
        <v>1</v>
      </c>
      <c r="M584" s="103">
        <f t="shared" si="227"/>
        <v>3.7011103009650004E-9</v>
      </c>
      <c r="N584" s="101">
        <f t="shared" si="228"/>
        <v>1</v>
      </c>
      <c r="O584" s="104">
        <f t="shared" si="229"/>
        <v>5.9217764815439999E-10</v>
      </c>
      <c r="P584" s="105">
        <f t="shared" ca="1" si="230"/>
        <v>6.4550699936918159</v>
      </c>
      <c r="Q584" s="106">
        <f t="shared" ca="1" si="231"/>
        <v>1.6109126153886204</v>
      </c>
      <c r="R584" s="107">
        <f t="shared" ca="1" si="232"/>
        <v>-33.775622850403238</v>
      </c>
      <c r="S584" s="108">
        <f t="shared" ca="1" si="233"/>
        <v>-102.10073832669754</v>
      </c>
      <c r="T584" s="116">
        <f t="shared" ca="1" si="234"/>
        <v>77.899261673302462</v>
      </c>
      <c r="V584" s="72">
        <f t="shared" ca="1" si="235"/>
        <v>112200</v>
      </c>
      <c r="W584" s="72">
        <f t="shared" si="236"/>
        <v>12588840000</v>
      </c>
      <c r="Y584" s="110">
        <f t="shared" si="237"/>
        <v>6.0377347411469051</v>
      </c>
      <c r="Z584" s="111">
        <f t="shared" si="238"/>
        <v>-9.4279353265947012</v>
      </c>
      <c r="AA584" s="72">
        <f t="shared" si="239"/>
        <v>170.57206467340529</v>
      </c>
      <c r="AB584" s="110">
        <f t="shared" ca="1" si="240"/>
        <v>-23.895757244668637</v>
      </c>
      <c r="AC584" s="111">
        <f t="shared" ca="1" si="241"/>
        <v>-92.672803000102789</v>
      </c>
      <c r="AD584" s="72">
        <f t="shared" ca="1" si="242"/>
        <v>87.327196999897211</v>
      </c>
    </row>
    <row r="585" spans="1:30">
      <c r="A585" s="118">
        <v>113510</v>
      </c>
      <c r="B585" s="101">
        <f t="shared" ca="1" si="216"/>
        <v>5820.878750305531</v>
      </c>
      <c r="C585" s="102">
        <f t="shared" ca="1" si="217"/>
        <v>1.5706245314272529</v>
      </c>
      <c r="D585" s="102">
        <f t="shared" si="218"/>
        <v>150.84603753409857</v>
      </c>
      <c r="E585" s="103">
        <f t="shared" si="219"/>
        <v>1.564167002345664</v>
      </c>
      <c r="F585" s="101">
        <f t="shared" si="220"/>
        <v>8558.4524192577792</v>
      </c>
      <c r="G585" s="104">
        <f t="shared" si="221"/>
        <v>1.5706794832403277</v>
      </c>
      <c r="H585" s="113">
        <f t="shared" si="222"/>
        <v>10.744701224084487</v>
      </c>
      <c r="I585" s="114">
        <f t="shared" si="223"/>
        <v>1.4775923112312914</v>
      </c>
      <c r="J585" s="101">
        <f t="shared" si="224"/>
        <v>1.0025400763260144</v>
      </c>
      <c r="K585" s="104">
        <f t="shared" si="225"/>
        <v>7.1199877779734744E-2</v>
      </c>
      <c r="L585" s="102">
        <f t="shared" si="226"/>
        <v>1</v>
      </c>
      <c r="M585" s="103">
        <f t="shared" si="227"/>
        <v>3.7443229078657504E-9</v>
      </c>
      <c r="N585" s="101">
        <f t="shared" si="228"/>
        <v>1</v>
      </c>
      <c r="O585" s="104">
        <f t="shared" si="229"/>
        <v>5.9909166525852002E-10</v>
      </c>
      <c r="P585" s="105">
        <f t="shared" ca="1" si="230"/>
        <v>6.5315551483549852</v>
      </c>
      <c r="Q585" s="106">
        <f t="shared" ca="1" si="231"/>
        <v>1.6149735326615029</v>
      </c>
      <c r="R585" s="107">
        <f t="shared" ca="1" si="232"/>
        <v>-33.8793280523346</v>
      </c>
      <c r="S585" s="108">
        <f t="shared" ca="1" si="233"/>
        <v>-102.31411112754984</v>
      </c>
      <c r="T585" s="116">
        <f t="shared" ca="1" si="234"/>
        <v>77.685888872450164</v>
      </c>
      <c r="V585" s="72">
        <f t="shared" ca="1" si="235"/>
        <v>113510</v>
      </c>
      <c r="W585" s="72">
        <f t="shared" si="236"/>
        <v>12884520100</v>
      </c>
      <c r="Y585" s="110">
        <f t="shared" si="237"/>
        <v>6.0363468657559487</v>
      </c>
      <c r="Z585" s="111">
        <f t="shared" si="238"/>
        <v>-9.4129544120995945</v>
      </c>
      <c r="AA585" s="72">
        <f t="shared" si="239"/>
        <v>170.58704558790041</v>
      </c>
      <c r="AB585" s="110">
        <f t="shared" ca="1" si="240"/>
        <v>-23.998074571209038</v>
      </c>
      <c r="AC585" s="111">
        <f t="shared" ca="1" si="241"/>
        <v>-92.901156715450199</v>
      </c>
      <c r="AD585" s="72">
        <f t="shared" ca="1" si="242"/>
        <v>87.098843284549801</v>
      </c>
    </row>
    <row r="586" spans="1:30">
      <c r="A586" s="118">
        <v>114820</v>
      </c>
      <c r="B586" s="101">
        <f t="shared" ca="1" si="216"/>
        <v>5888.0565402723378</v>
      </c>
      <c r="C586" s="102">
        <f t="shared" ca="1" si="217"/>
        <v>1.5706264914684238</v>
      </c>
      <c r="D586" s="102">
        <f t="shared" si="218"/>
        <v>152.58685045240256</v>
      </c>
      <c r="E586" s="103">
        <f t="shared" si="219"/>
        <v>1.5642426352051568</v>
      </c>
      <c r="F586" s="101">
        <f t="shared" si="220"/>
        <v>8657.2240915072362</v>
      </c>
      <c r="G586" s="104">
        <f t="shared" si="221"/>
        <v>1.570680816327378</v>
      </c>
      <c r="H586" s="113">
        <f t="shared" si="222"/>
        <v>10.86763601037598</v>
      </c>
      <c r="I586" s="114">
        <f t="shared" si="223"/>
        <v>1.4786496473686794</v>
      </c>
      <c r="J586" s="101">
        <f t="shared" si="224"/>
        <v>1.0025989674054132</v>
      </c>
      <c r="K586" s="104">
        <f t="shared" si="225"/>
        <v>7.2018761461053765E-2</v>
      </c>
      <c r="L586" s="102">
        <f t="shared" si="226"/>
        <v>1</v>
      </c>
      <c r="M586" s="103">
        <f t="shared" si="227"/>
        <v>3.7875355147665005E-9</v>
      </c>
      <c r="N586" s="101">
        <f t="shared" si="228"/>
        <v>1</v>
      </c>
      <c r="O586" s="104">
        <f t="shared" si="229"/>
        <v>6.0600568236264005E-10</v>
      </c>
      <c r="P586" s="105">
        <f t="shared" ca="1" si="230"/>
        <v>6.608162047301855</v>
      </c>
      <c r="Q586" s="106">
        <f t="shared" ca="1" si="231"/>
        <v>1.6189922582336922</v>
      </c>
      <c r="R586" s="107">
        <f t="shared" ca="1" si="232"/>
        <v>-33.981977880121136</v>
      </c>
      <c r="S586" s="108">
        <f t="shared" ca="1" si="233"/>
        <v>-102.52656005938026</v>
      </c>
      <c r="T586" s="116">
        <f t="shared" ca="1" si="234"/>
        <v>77.473439940619741</v>
      </c>
      <c r="V586" s="72">
        <f t="shared" ca="1" si="235"/>
        <v>114820</v>
      </c>
      <c r="W586" s="72">
        <f t="shared" si="236"/>
        <v>13183632400</v>
      </c>
      <c r="Y586" s="110">
        <f t="shared" si="237"/>
        <v>6.0349830899320409</v>
      </c>
      <c r="Z586" s="111">
        <f t="shared" si="238"/>
        <v>-9.3993684709187271</v>
      </c>
      <c r="AA586" s="72">
        <f t="shared" si="239"/>
        <v>170.60063152908128</v>
      </c>
      <c r="AB586" s="110">
        <f t="shared" ca="1" si="240"/>
        <v>-24.099360623171677</v>
      </c>
      <c r="AC586" s="111">
        <f t="shared" ca="1" si="241"/>
        <v>-93.127191588461528</v>
      </c>
      <c r="AD586" s="72">
        <f t="shared" ca="1" si="242"/>
        <v>86.872808411538472</v>
      </c>
    </row>
    <row r="587" spans="1:30">
      <c r="A587" s="118">
        <v>116155</v>
      </c>
      <c r="B587" s="101">
        <f t="shared" ca="1" si="216"/>
        <v>5956.5163491543817</v>
      </c>
      <c r="C587" s="102">
        <f t="shared" ca="1" si="217"/>
        <v>1.5706284434305138</v>
      </c>
      <c r="D587" s="102">
        <f t="shared" si="218"/>
        <v>154.36088586882937</v>
      </c>
      <c r="E587" s="103">
        <f t="shared" si="219"/>
        <v>1.5643179563885197</v>
      </c>
      <c r="F587" s="101">
        <f t="shared" si="220"/>
        <v>8757.8807193494395</v>
      </c>
      <c r="G587" s="104">
        <f t="shared" si="221"/>
        <v>1.5706821439195848</v>
      </c>
      <c r="H587" s="113">
        <f t="shared" si="222"/>
        <v>10.992929097716676</v>
      </c>
      <c r="I587" s="114">
        <f t="shared" si="223"/>
        <v>1.4797028306634827</v>
      </c>
      <c r="J587" s="101">
        <f t="shared" si="224"/>
        <v>1.0026596739593798</v>
      </c>
      <c r="K587" s="104">
        <f t="shared" si="225"/>
        <v>7.285317315629096E-2</v>
      </c>
      <c r="L587" s="102">
        <f t="shared" si="226"/>
        <v>1</v>
      </c>
      <c r="M587" s="103">
        <f t="shared" si="227"/>
        <v>3.8315727897378752E-9</v>
      </c>
      <c r="N587" s="101">
        <f t="shared" si="228"/>
        <v>1</v>
      </c>
      <c r="O587" s="104">
        <f t="shared" si="229"/>
        <v>6.1305164635806002E-10</v>
      </c>
      <c r="P587" s="105">
        <f t="shared" ca="1" si="230"/>
        <v>6.686356598212801</v>
      </c>
      <c r="Q587" s="106">
        <f t="shared" ca="1" si="231"/>
        <v>1.623045609724552</v>
      </c>
      <c r="R587" s="107">
        <f t="shared" ca="1" si="232"/>
        <v>-34.085525533513206</v>
      </c>
      <c r="S587" s="108">
        <f t="shared" ca="1" si="233"/>
        <v>-102.74213762018935</v>
      </c>
      <c r="T587" s="116">
        <f t="shared" ca="1" si="234"/>
        <v>77.257862379810646</v>
      </c>
      <c r="V587" s="72">
        <f t="shared" ca="1" si="235"/>
        <v>116155</v>
      </c>
      <c r="W587" s="72">
        <f t="shared" si="236"/>
        <v>13491984025</v>
      </c>
      <c r="Y587" s="110">
        <f t="shared" si="237"/>
        <v>6.0336167051447447</v>
      </c>
      <c r="Z587" s="111">
        <f t="shared" si="238"/>
        <v>-9.3869098448829504</v>
      </c>
      <c r="AA587" s="72">
        <f t="shared" si="239"/>
        <v>170.61309015511705</v>
      </c>
      <c r="AB587" s="110">
        <f t="shared" ca="1" si="240"/>
        <v>-24.201541891776444</v>
      </c>
      <c r="AC587" s="111">
        <f t="shared" ca="1" si="241"/>
        <v>-93.355227775306346</v>
      </c>
      <c r="AD587" s="72">
        <f t="shared" ca="1" si="242"/>
        <v>86.644772224693654</v>
      </c>
    </row>
    <row r="588" spans="1:30">
      <c r="A588" s="118">
        <v>117490</v>
      </c>
      <c r="B588" s="101">
        <f t="shared" ca="1" si="216"/>
        <v>6024.9761580586055</v>
      </c>
      <c r="C588" s="102">
        <f t="shared" ca="1" si="217"/>
        <v>1.5706303510336062</v>
      </c>
      <c r="D588" s="102">
        <f t="shared" si="218"/>
        <v>156.13492214108831</v>
      </c>
      <c r="E588" s="103">
        <f t="shared" si="219"/>
        <v>1.564391565943535</v>
      </c>
      <c r="F588" s="101">
        <f t="shared" si="220"/>
        <v>8858.5373472067276</v>
      </c>
      <c r="G588" s="104">
        <f t="shared" si="221"/>
        <v>1.57068344134181</v>
      </c>
      <c r="H588" s="113">
        <f t="shared" si="222"/>
        <v>11.118234103535761</v>
      </c>
      <c r="I588" s="114">
        <f t="shared" si="223"/>
        <v>1.4807322758522816</v>
      </c>
      <c r="J588" s="101">
        <f t="shared" si="224"/>
        <v>1.0027210785231915</v>
      </c>
      <c r="K588" s="104">
        <f t="shared" si="225"/>
        <v>7.3687483237060633E-2</v>
      </c>
      <c r="L588" s="102">
        <f t="shared" si="226"/>
        <v>1</v>
      </c>
      <c r="M588" s="103">
        <f t="shared" si="227"/>
        <v>3.8756100647092508E-9</v>
      </c>
      <c r="N588" s="101">
        <f t="shared" si="228"/>
        <v>1</v>
      </c>
      <c r="O588" s="104">
        <f t="shared" si="229"/>
        <v>6.2009761035347998E-10</v>
      </c>
      <c r="P588" s="105">
        <f t="shared" ca="1" si="230"/>
        <v>6.7646784971421114</v>
      </c>
      <c r="Q588" s="106">
        <f t="shared" ca="1" si="231"/>
        <v>1.6270577976705254</v>
      </c>
      <c r="R588" s="107">
        <f t="shared" ca="1" si="232"/>
        <v>-34.188026237618715</v>
      </c>
      <c r="S588" s="108">
        <f t="shared" ca="1" si="233"/>
        <v>-102.9568047536975</v>
      </c>
      <c r="T588" s="116">
        <f t="shared" ca="1" si="234"/>
        <v>77.043195246302503</v>
      </c>
      <c r="V588" s="72">
        <f t="shared" ca="1" si="235"/>
        <v>117490</v>
      </c>
      <c r="W588" s="72">
        <f t="shared" si="236"/>
        <v>13803900100</v>
      </c>
      <c r="Y588" s="110">
        <f t="shared" si="237"/>
        <v>6.0322726384093928</v>
      </c>
      <c r="Z588" s="111">
        <f t="shared" si="238"/>
        <v>-9.3758037614436649</v>
      </c>
      <c r="AA588" s="72">
        <f t="shared" si="239"/>
        <v>170.62419623855632</v>
      </c>
      <c r="AB588" s="110">
        <f t="shared" ca="1" si="240"/>
        <v>-24.302698529146603</v>
      </c>
      <c r="AC588" s="111">
        <f t="shared" ca="1" si="241"/>
        <v>-93.581000992253834</v>
      </c>
      <c r="AD588" s="72">
        <f t="shared" ca="1" si="242"/>
        <v>86.418999007746166</v>
      </c>
    </row>
    <row r="589" spans="1:30">
      <c r="A589" s="118">
        <v>118860</v>
      </c>
      <c r="B589" s="101">
        <f t="shared" ca="1" si="216"/>
        <v>6095.2307934357777</v>
      </c>
      <c r="C589" s="102">
        <f t="shared" ca="1" si="217"/>
        <v>1.5706322640976214</v>
      </c>
      <c r="D589" s="102">
        <f t="shared" si="218"/>
        <v>157.95546958714172</v>
      </c>
      <c r="E589" s="103">
        <f t="shared" si="219"/>
        <v>1.5644653862913507</v>
      </c>
      <c r="F589" s="101">
        <f t="shared" si="220"/>
        <v>8961.8329128881614</v>
      </c>
      <c r="G589" s="104">
        <f t="shared" si="221"/>
        <v>1.5706847424781842</v>
      </c>
      <c r="H589" s="113">
        <f t="shared" si="222"/>
        <v>11.246836232812143</v>
      </c>
      <c r="I589" s="114">
        <f t="shared" si="223"/>
        <v>1.4817648603143789</v>
      </c>
      <c r="J589" s="101">
        <f t="shared" si="224"/>
        <v>1.0027848185095498</v>
      </c>
      <c r="K589" s="104">
        <f t="shared" si="225"/>
        <v>7.4543559771949375E-2</v>
      </c>
      <c r="L589" s="102">
        <f t="shared" si="226"/>
        <v>1</v>
      </c>
      <c r="M589" s="103">
        <f t="shared" si="227"/>
        <v>3.9208018749795001E-9</v>
      </c>
      <c r="N589" s="101">
        <f t="shared" si="228"/>
        <v>1</v>
      </c>
      <c r="O589" s="104">
        <f t="shared" si="229"/>
        <v>6.2732829999672004E-10</v>
      </c>
      <c r="P589" s="105">
        <f t="shared" ca="1" si="230"/>
        <v>6.8451867051733757</v>
      </c>
      <c r="Q589" s="106">
        <f t="shared" ca="1" si="231"/>
        <v>1.6311336907101361</v>
      </c>
      <c r="R589" s="107">
        <f t="shared" ca="1" si="232"/>
        <v>-34.292150482087095</v>
      </c>
      <c r="S589" s="108">
        <f t="shared" ca="1" si="233"/>
        <v>-103.17617762715474</v>
      </c>
      <c r="T589" s="116">
        <f t="shared" ca="1" si="234"/>
        <v>76.823822372845257</v>
      </c>
      <c r="V589" s="72">
        <f t="shared" ca="1" si="235"/>
        <v>118860</v>
      </c>
      <c r="W589" s="72">
        <f t="shared" si="236"/>
        <v>14127699600</v>
      </c>
      <c r="Y589" s="110">
        <f t="shared" si="237"/>
        <v>6.0309152211999582</v>
      </c>
      <c r="Z589" s="111">
        <f t="shared" si="238"/>
        <v>-9.3657651496003442</v>
      </c>
      <c r="AA589" s="72">
        <f t="shared" si="239"/>
        <v>170.63423485039965</v>
      </c>
      <c r="AB589" s="110">
        <f t="shared" ca="1" si="240"/>
        <v>-24.40546535640555</v>
      </c>
      <c r="AC589" s="111">
        <f t="shared" ca="1" si="241"/>
        <v>-93.81041247755438</v>
      </c>
      <c r="AD589" s="72">
        <f t="shared" ca="1" si="242"/>
        <v>86.18958752244562</v>
      </c>
    </row>
    <row r="590" spans="1:30">
      <c r="A590" s="118">
        <v>120230</v>
      </c>
      <c r="B590" s="101">
        <f t="shared" ref="B590:B614" ca="1" si="243">SQRT(1+(A590/Pole1)^2)</f>
        <v>6165.4854288347487</v>
      </c>
      <c r="C590" s="102">
        <f t="shared" ref="C590:C614" ca="1" si="244">ATAN(A590/Pole1)</f>
        <v>1.5706341335635725</v>
      </c>
      <c r="D590" s="102">
        <f t="shared" ref="D590:D614" si="245">SQRT(1+(A590/Zero1)^2)</f>
        <v>159.77601787434872</v>
      </c>
      <c r="E590" s="103">
        <f t="shared" ref="E590:E614" si="246">ATAN(A590/Zero1)</f>
        <v>1.5645375243657096</v>
      </c>
      <c r="F590" s="101">
        <f t="shared" ref="F590:F614" si="247">SQRT(1+(A590/Pole2)^2)</f>
        <v>9065.1284785844182</v>
      </c>
      <c r="G590" s="104">
        <f t="shared" ref="G590:G614" si="248">ATAN(A590/Pole2)</f>
        <v>1.5706860139621122</v>
      </c>
      <c r="H590" s="113">
        <f t="shared" ref="H590:H614" si="249">SQRT(1+(A590/Zero2)^2)</f>
        <v>11.375450082664466</v>
      </c>
      <c r="I590" s="114">
        <f t="shared" ref="I590:I614" si="250">ATAN(A590/Zero2)</f>
        <v>1.4827740964858382</v>
      </c>
      <c r="J590" s="101">
        <f t="shared" ref="J590:J614" si="251">SQRT(1+(A590/pole4)^2)</f>
        <v>1.0028492933101096</v>
      </c>
      <c r="K590" s="104">
        <f t="shared" ref="K590:K614" si="252">ATAN(A590/pole4)</f>
        <v>7.5399526856995497E-2</v>
      </c>
      <c r="L590" s="102">
        <f t="shared" ref="L590:L614" si="253">SQRT(1+(A590/Zerofeed)^2)</f>
        <v>1</v>
      </c>
      <c r="M590" s="103">
        <f t="shared" ref="M590:M614" si="254">ATAN(A590/Zerofeed)</f>
        <v>3.9659936852497503E-9</v>
      </c>
      <c r="N590" s="101">
        <f t="shared" ref="N590:N614" si="255">SQRT(1+(A590/Polefeed)^2)</f>
        <v>1</v>
      </c>
      <c r="O590" s="104">
        <f t="shared" ref="O590:O614" si="256">ATAN(A590/Polefeed)</f>
        <v>6.3455898963996E-10</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-34.395221677229543</v>
      </c>
      <c r="S590" s="108">
        <f t="shared" ref="S590:S614" ca="1" si="260">((E590+I590+M590)-(C590+G590+Q590+K590+O590))*radconv</f>
        <v>-103.3946400965791</v>
      </c>
      <c r="T590" s="116">
        <f t="shared" ref="T590:T614" ca="1" si="261">IF(S590&gt;0,S590,S590+180)</f>
        <v>76.605359903420904</v>
      </c>
      <c r="V590" s="72">
        <f t="shared" ref="V590:V614" ca="1" si="262">IF(R590&lt;0,A590,1000000000)</f>
        <v>120230</v>
      </c>
      <c r="W590" s="72">
        <f t="shared" ref="W590:W614" si="263">A590^2</f>
        <v>14455252900</v>
      </c>
      <c r="Y590" s="110">
        <f t="shared" ref="Y590:Y614" si="264">20*LOG10(((H590*L590)/(F590*J590*N590))*Aea)</f>
        <v>6.0295787044477924</v>
      </c>
      <c r="Z590" s="111">
        <f t="shared" ref="Z590:Z614" si="265">(I590+M590-(G590+K590+O590))*radconv</f>
        <v>-9.357056326296874</v>
      </c>
      <c r="AA590" s="72">
        <f t="shared" ref="AA590:AA614" si="266">IF(Z590&gt;0,Z590,Z590+180)</f>
        <v>170.64294367370312</v>
      </c>
      <c r="AB590" s="110">
        <f t="shared" ref="AB590:AB614" ca="1" si="267">20*LOG10((D590/(B590*P590))*Acs*Am)</f>
        <v>-24.507200034795829</v>
      </c>
      <c r="AC590" s="111">
        <f t="shared" ref="AC590:AC614" ca="1" si="268">(E590-(C590+Q590))*radconv</f>
        <v>-94.037583770282225</v>
      </c>
      <c r="AD590" s="72">
        <f t="shared" ref="AD590:AD614" ca="1" si="269">IF(AC590&gt;0,AC590,AC590+180)</f>
        <v>85.962416229717775</v>
      </c>
    </row>
    <row r="591" spans="1:30">
      <c r="A591" s="118">
        <v>126030</v>
      </c>
      <c r="B591" s="101">
        <f t="shared" ca="1" si="243"/>
        <v>6462.9138125007821</v>
      </c>
      <c r="C591" s="102">
        <f t="shared" ca="1" si="244"/>
        <v>1.5706415978238779</v>
      </c>
      <c r="D591" s="102">
        <f t="shared" si="245"/>
        <v>167.48345726650558</v>
      </c>
      <c r="E591" s="103">
        <f t="shared" si="246"/>
        <v>1.5648255523791006</v>
      </c>
      <c r="F591" s="101">
        <f t="shared" si="247"/>
        <v>9502.4381729260767</v>
      </c>
      <c r="G591" s="104">
        <f t="shared" si="248"/>
        <v>1.5706910906456424</v>
      </c>
      <c r="H591" s="113">
        <f t="shared" si="249"/>
        <v>11.920067784405282</v>
      </c>
      <c r="I591" s="114">
        <f t="shared" si="250"/>
        <v>1.4868054694853001</v>
      </c>
      <c r="J591" s="101">
        <f t="shared" si="251"/>
        <v>1.0031303895746624</v>
      </c>
      <c r="K591" s="104">
        <f t="shared" si="252"/>
        <v>7.902208822229248E-2</v>
      </c>
      <c r="L591" s="102">
        <f t="shared" si="253"/>
        <v>1</v>
      </c>
      <c r="M591" s="103">
        <f t="shared" si="254"/>
        <v>4.1573166776347506E-9</v>
      </c>
      <c r="N591" s="101">
        <f t="shared" si="255"/>
        <v>1</v>
      </c>
      <c r="O591" s="104">
        <f t="shared" si="256"/>
        <v>6.6517066842156008E-10</v>
      </c>
      <c r="P591" s="105">
        <f t="shared" ca="1" si="257"/>
        <v>7.2687523003979546</v>
      </c>
      <c r="Q591" s="106">
        <f t="shared" ca="1" si="258"/>
        <v>1.6518281783018962</v>
      </c>
      <c r="R591" s="107">
        <f t="shared" ca="1" si="259"/>
        <v>-34.820451005447033</v>
      </c>
      <c r="S591" s="108">
        <f t="shared" ca="1" si="260"/>
        <v>-104.30994207179894</v>
      </c>
      <c r="T591" s="116">
        <f t="shared" ca="1" si="261"/>
        <v>75.690057928201057</v>
      </c>
      <c r="V591" s="72">
        <f t="shared" ca="1" si="262"/>
        <v>126030</v>
      </c>
      <c r="W591" s="72">
        <f t="shared" si="263"/>
        <v>15883560900</v>
      </c>
      <c r="Y591" s="110">
        <f t="shared" si="264"/>
        <v>6.0241253539111552</v>
      </c>
      <c r="Z591" s="111">
        <f t="shared" si="265"/>
        <v>-9.3339240083490616</v>
      </c>
      <c r="AA591" s="72">
        <f t="shared" si="266"/>
        <v>170.66607599165093</v>
      </c>
      <c r="AB591" s="110">
        <f t="shared" ca="1" si="267"/>
        <v>-24.926976012476679</v>
      </c>
      <c r="AC591" s="111">
        <f t="shared" ca="1" si="268"/>
        <v>-94.976018063449828</v>
      </c>
      <c r="AD591" s="72">
        <f t="shared" ca="1" si="269"/>
        <v>85.023981936550172</v>
      </c>
    </row>
    <row r="592" spans="1:30">
      <c r="A592" s="118">
        <v>131830</v>
      </c>
      <c r="B592" s="101">
        <f t="shared" ca="1" si="243"/>
        <v>6760.3421964952131</v>
      </c>
      <c r="C592" s="102">
        <f t="shared" ca="1" si="244"/>
        <v>1.5706484052881768</v>
      </c>
      <c r="D592" s="102">
        <f t="shared" si="245"/>
        <v>175.19090933055301</v>
      </c>
      <c r="E592" s="103">
        <f t="shared" si="246"/>
        <v>1.5650882370645374</v>
      </c>
      <c r="F592" s="101">
        <f t="shared" si="247"/>
        <v>9939.7478674910872</v>
      </c>
      <c r="G592" s="104">
        <f t="shared" si="248"/>
        <v>1.5706957206210763</v>
      </c>
      <c r="H592" s="113">
        <f t="shared" si="249"/>
        <v>12.464862280457467</v>
      </c>
      <c r="I592" s="114">
        <f t="shared" si="250"/>
        <v>1.4904845042411057</v>
      </c>
      <c r="J592" s="101">
        <f t="shared" si="251"/>
        <v>1.00342464239381</v>
      </c>
      <c r="K592" s="104">
        <f t="shared" si="252"/>
        <v>8.2642572454555821E-2</v>
      </c>
      <c r="L592" s="102">
        <f t="shared" si="253"/>
        <v>1</v>
      </c>
      <c r="M592" s="103">
        <f t="shared" si="254"/>
        <v>4.3486396700197501E-9</v>
      </c>
      <c r="N592" s="101">
        <f t="shared" si="255"/>
        <v>1</v>
      </c>
      <c r="O592" s="104">
        <f t="shared" si="256"/>
        <v>6.9578234720316005E-10</v>
      </c>
      <c r="P592" s="105">
        <f t="shared" ca="1" si="257"/>
        <v>7.6141588541847094</v>
      </c>
      <c r="Q592" s="106">
        <f t="shared" ca="1" si="258"/>
        <v>1.6678621911488392</v>
      </c>
      <c r="R592" s="107">
        <f t="shared" ca="1" si="259"/>
        <v>-35.228884216345485</v>
      </c>
      <c r="S592" s="108">
        <f t="shared" ca="1" si="260"/>
        <v>-105.21087322372824</v>
      </c>
      <c r="T592" s="116">
        <f t="shared" ca="1" si="261"/>
        <v>74.789126776271758</v>
      </c>
      <c r="V592" s="72">
        <f t="shared" ca="1" si="262"/>
        <v>131830</v>
      </c>
      <c r="W592" s="72">
        <f t="shared" si="263"/>
        <v>17379148900</v>
      </c>
      <c r="Y592" s="110">
        <f t="shared" si="264"/>
        <v>6.0189467325763557</v>
      </c>
      <c r="Z592" s="111">
        <f t="shared" si="265"/>
        <v>-9.3308345793018219</v>
      </c>
      <c r="AA592" s="72">
        <f t="shared" si="266"/>
        <v>170.66916542069816</v>
      </c>
      <c r="AB592" s="110">
        <f t="shared" ca="1" si="267"/>
        <v>-25.330230602040338</v>
      </c>
      <c r="AC592" s="111">
        <f t="shared" ca="1" si="268"/>
        <v>-95.880038644426449</v>
      </c>
      <c r="AD592" s="72">
        <f t="shared" ca="1" si="269"/>
        <v>84.119961355573551</v>
      </c>
    </row>
    <row r="593" spans="1:30">
      <c r="A593" s="118">
        <v>144540</v>
      </c>
      <c r="B593" s="101">
        <f t="shared" ca="1" si="243"/>
        <v>7412.1206044450992</v>
      </c>
      <c r="C593" s="102">
        <f t="shared" ca="1" si="244"/>
        <v>1.5706614126378828</v>
      </c>
      <c r="D593" s="102">
        <f t="shared" si="245"/>
        <v>192.08089717744218</v>
      </c>
      <c r="E593" s="103">
        <f t="shared" si="246"/>
        <v>1.5655901634956564</v>
      </c>
      <c r="F593" s="101">
        <f t="shared" si="247"/>
        <v>10898.05928502373</v>
      </c>
      <c r="G593" s="104">
        <f t="shared" si="248"/>
        <v>1.5707045673379834</v>
      </c>
      <c r="H593" s="113">
        <f t="shared" si="249"/>
        <v>13.659228518425962</v>
      </c>
      <c r="I593" s="114">
        <f t="shared" si="250"/>
        <v>1.4975201927735602</v>
      </c>
      <c r="J593" s="101">
        <f t="shared" si="251"/>
        <v>1.0041154100051024</v>
      </c>
      <c r="K593" s="104">
        <f t="shared" si="252"/>
        <v>9.05687093917181E-2</v>
      </c>
      <c r="L593" s="102">
        <f t="shared" si="253"/>
        <v>1</v>
      </c>
      <c r="M593" s="103">
        <f t="shared" si="254"/>
        <v>4.7679009171255006E-9</v>
      </c>
      <c r="N593" s="101">
        <f t="shared" si="255"/>
        <v>1</v>
      </c>
      <c r="O593" s="104">
        <f t="shared" si="256"/>
        <v>7.6286414674008004E-10</v>
      </c>
      <c r="P593" s="105">
        <f t="shared" ca="1" si="257"/>
        <v>8.3800423129546981</v>
      </c>
      <c r="Q593" s="106">
        <f t="shared" ca="1" si="258"/>
        <v>1.7011383065945587</v>
      </c>
      <c r="R593" s="107">
        <f t="shared" ca="1" si="259"/>
        <v>-36.072073185760445</v>
      </c>
      <c r="S593" s="108">
        <f t="shared" ca="1" si="260"/>
        <v>-107.14096699450202</v>
      </c>
      <c r="T593" s="116">
        <f t="shared" ca="1" si="261"/>
        <v>72.859033005497977</v>
      </c>
      <c r="V593" s="72">
        <f t="shared" ca="1" si="262"/>
        <v>144540</v>
      </c>
      <c r="W593" s="72">
        <f t="shared" si="263"/>
        <v>20891811600</v>
      </c>
      <c r="Y593" s="110">
        <f t="shared" si="264"/>
        <v>6.0082671035445259</v>
      </c>
      <c r="Z593" s="111">
        <f t="shared" si="265"/>
        <v>-9.382360374187531</v>
      </c>
      <c r="AA593" s="72">
        <f t="shared" si="266"/>
        <v>170.61763962581247</v>
      </c>
      <c r="AB593" s="110">
        <f t="shared" ca="1" si="267"/>
        <v>-26.162739942423467</v>
      </c>
      <c r="AC593" s="111">
        <f t="shared" ca="1" si="268"/>
        <v>-97.758606620314453</v>
      </c>
      <c r="AD593" s="72">
        <f t="shared" ca="1" si="269"/>
        <v>82.241393379685547</v>
      </c>
    </row>
    <row r="594" spans="1:30">
      <c r="A594" s="118">
        <v>158490</v>
      </c>
      <c r="B594" s="101">
        <f t="shared" ca="1" si="243"/>
        <v>8127.4871509566819</v>
      </c>
      <c r="C594" s="102">
        <f t="shared" ca="1" si="244"/>
        <v>1.5706732875351661</v>
      </c>
      <c r="D594" s="102">
        <f t="shared" si="245"/>
        <v>210.61873504989725</v>
      </c>
      <c r="E594" s="103">
        <f t="shared" si="246"/>
        <v>1.5660483932508154</v>
      </c>
      <c r="F594" s="101">
        <f t="shared" si="247"/>
        <v>11949.86450020548</v>
      </c>
      <c r="G594" s="104">
        <f t="shared" si="248"/>
        <v>1.5707126438375585</v>
      </c>
      <c r="H594" s="113">
        <f t="shared" si="249"/>
        <v>14.970766334618151</v>
      </c>
      <c r="I594" s="114">
        <f t="shared" si="250"/>
        <v>1.503949706443249</v>
      </c>
      <c r="J594" s="101">
        <f t="shared" si="251"/>
        <v>1.0049460758257571</v>
      </c>
      <c r="K594" s="104">
        <f t="shared" si="252"/>
        <v>9.9254975818170818E-2</v>
      </c>
      <c r="L594" s="102">
        <f t="shared" si="253"/>
        <v>1</v>
      </c>
      <c r="M594" s="103">
        <f t="shared" si="254"/>
        <v>5.2280657005342503E-9</v>
      </c>
      <c r="N594" s="101">
        <f t="shared" si="255"/>
        <v>1</v>
      </c>
      <c r="O594" s="104">
        <f t="shared" si="256"/>
        <v>8.3649051208548008E-10</v>
      </c>
      <c r="P594" s="105">
        <f t="shared" ca="1" si="257"/>
        <v>9.2354768584146214</v>
      </c>
      <c r="Q594" s="106">
        <f t="shared" ca="1" si="258"/>
        <v>1.7352430517568975</v>
      </c>
      <c r="R594" s="107">
        <f t="shared" ca="1" si="259"/>
        <v>-36.927456843112346</v>
      </c>
      <c r="S594" s="108">
        <f t="shared" ca="1" si="260"/>
        <v>-109.19921584206266</v>
      </c>
      <c r="T594" s="116">
        <f t="shared" ca="1" si="261"/>
        <v>70.800784157937343</v>
      </c>
      <c r="V594" s="72">
        <f t="shared" ca="1" si="262"/>
        <v>158490</v>
      </c>
      <c r="W594" s="72">
        <f t="shared" si="263"/>
        <v>25119080100</v>
      </c>
      <c r="Y594" s="110">
        <f t="shared" si="264"/>
        <v>5.9971655008977089</v>
      </c>
      <c r="Z594" s="111">
        <f t="shared" si="265"/>
        <v>-9.5121255098947692</v>
      </c>
      <c r="AA594" s="72">
        <f t="shared" si="266"/>
        <v>170.48787449010524</v>
      </c>
      <c r="AB594" s="110">
        <f t="shared" ca="1" si="267"/>
        <v>-27.007021997128547</v>
      </c>
      <c r="AC594" s="111">
        <f t="shared" ca="1" si="268"/>
        <v>-99.68709033216787</v>
      </c>
      <c r="AD594" s="72">
        <f t="shared" ca="1" si="269"/>
        <v>80.31290966783213</v>
      </c>
    </row>
    <row r="595" spans="1:30">
      <c r="A595" s="118">
        <v>173780</v>
      </c>
      <c r="B595" s="101">
        <f t="shared" ca="1" si="243"/>
        <v>8911.5699116331853</v>
      </c>
      <c r="C595" s="102">
        <f t="shared" ca="1" si="244"/>
        <v>1.5706841131207612</v>
      </c>
      <c r="D595" s="102">
        <f t="shared" si="245"/>
        <v>230.93731071317154</v>
      </c>
      <c r="E595" s="103">
        <f t="shared" si="246"/>
        <v>1.5664661338000363</v>
      </c>
      <c r="F595" s="101">
        <f t="shared" si="247"/>
        <v>13102.703335368065</v>
      </c>
      <c r="G595" s="104">
        <f t="shared" si="248"/>
        <v>1.5707200066664944</v>
      </c>
      <c r="H595" s="113">
        <f t="shared" si="249"/>
        <v>16.408878774855847</v>
      </c>
      <c r="I595" s="114">
        <f t="shared" si="250"/>
        <v>1.5098159239917515</v>
      </c>
      <c r="J595" s="101">
        <f t="shared" si="251"/>
        <v>1.0059434775958762</v>
      </c>
      <c r="K595" s="104">
        <f t="shared" si="252"/>
        <v>0.10875834394662851</v>
      </c>
      <c r="L595" s="102">
        <f t="shared" si="253"/>
        <v>1</v>
      </c>
      <c r="M595" s="103">
        <f t="shared" si="254"/>
        <v>5.7324326925285005E-9</v>
      </c>
      <c r="N595" s="101">
        <f t="shared" si="255"/>
        <v>1</v>
      </c>
      <c r="O595" s="104">
        <f t="shared" si="256"/>
        <v>9.1718923080456001E-10</v>
      </c>
      <c r="P595" s="105">
        <f t="shared" ca="1" si="257"/>
        <v>10.192007052248353</v>
      </c>
      <c r="Q595" s="106">
        <f t="shared" ca="1" si="258"/>
        <v>1.7703067669061396</v>
      </c>
      <c r="R595" s="107">
        <f t="shared" ca="1" si="259"/>
        <v>-37.795358582716261</v>
      </c>
      <c r="S595" s="108">
        <f t="shared" ca="1" si="260"/>
        <v>-111.39371943906814</v>
      </c>
      <c r="T595" s="116">
        <f t="shared" ca="1" si="261"/>
        <v>68.606280560931864</v>
      </c>
      <c r="V595" s="72">
        <f t="shared" ca="1" si="262"/>
        <v>173780</v>
      </c>
      <c r="W595" s="72">
        <f t="shared" si="263"/>
        <v>30199488400</v>
      </c>
      <c r="Y595" s="110">
        <f t="shared" si="264"/>
        <v>5.9852880415367888</v>
      </c>
      <c r="Z595" s="111">
        <f t="shared" si="265"/>
        <v>-9.7209407225672617</v>
      </c>
      <c r="AA595" s="72">
        <f t="shared" si="266"/>
        <v>170.27905927743274</v>
      </c>
      <c r="AB595" s="110">
        <f t="shared" ca="1" si="267"/>
        <v>-27.863046277371541</v>
      </c>
      <c r="AC595" s="111">
        <f t="shared" ca="1" si="268"/>
        <v>-101.67277871650087</v>
      </c>
      <c r="AD595" s="72">
        <f t="shared" ca="1" si="269"/>
        <v>78.327221283499128</v>
      </c>
    </row>
    <row r="596" spans="1:30">
      <c r="A596" s="118">
        <v>190550</v>
      </c>
      <c r="B596" s="101">
        <f t="shared" ca="1" si="243"/>
        <v>9771.5481923275875</v>
      </c>
      <c r="C596" s="102">
        <f t="shared" ca="1" si="244"/>
        <v>1.5706939888662426</v>
      </c>
      <c r="D596" s="102">
        <f t="shared" si="245"/>
        <v>253.22266736499128</v>
      </c>
      <c r="E596" s="103">
        <f t="shared" si="246"/>
        <v>1.5668472229897457</v>
      </c>
      <c r="F596" s="101">
        <f t="shared" si="247"/>
        <v>14367.13154178166</v>
      </c>
      <c r="G596" s="104">
        <f t="shared" si="248"/>
        <v>1.5707267234786118</v>
      </c>
      <c r="H596" s="113">
        <f t="shared" si="249"/>
        <v>17.986734162764645</v>
      </c>
      <c r="I596" s="114">
        <f t="shared" si="250"/>
        <v>1.5151711159490162</v>
      </c>
      <c r="J596" s="101">
        <f t="shared" si="251"/>
        <v>1.0071416673127076</v>
      </c>
      <c r="K596" s="104">
        <f t="shared" si="252"/>
        <v>0.11915890139575826</v>
      </c>
      <c r="L596" s="102">
        <f t="shared" si="253"/>
        <v>1</v>
      </c>
      <c r="M596" s="103">
        <f t="shared" si="254"/>
        <v>6.2856200343037504E-9</v>
      </c>
      <c r="N596" s="101">
        <f t="shared" si="255"/>
        <v>1</v>
      </c>
      <c r="O596" s="104">
        <f t="shared" si="256"/>
        <v>1.0056992054886001E-9</v>
      </c>
      <c r="P596" s="105">
        <f t="shared" ca="1" si="257"/>
        <v>11.265390190557394</v>
      </c>
      <c r="Q596" s="106">
        <f t="shared" ca="1" si="258"/>
        <v>1.806514108684089</v>
      </c>
      <c r="R596" s="107">
        <f t="shared" ca="1" si="259"/>
        <v>-38.678157447134119</v>
      </c>
      <c r="S596" s="108">
        <f t="shared" ca="1" si="260"/>
        <v>-113.73644131650342</v>
      </c>
      <c r="T596" s="116">
        <f t="shared" ca="1" si="261"/>
        <v>66.263558683496584</v>
      </c>
      <c r="V596" s="72">
        <f t="shared" ca="1" si="262"/>
        <v>190550</v>
      </c>
      <c r="W596" s="72">
        <f t="shared" si="263"/>
        <v>36309302500</v>
      </c>
      <c r="Y596" s="110">
        <f t="shared" si="264"/>
        <v>5.9722333335158506</v>
      </c>
      <c r="Z596" s="111">
        <f t="shared" si="265"/>
        <v>-10.01040369004491</v>
      </c>
      <c r="AA596" s="72">
        <f t="shared" si="266"/>
        <v>169.98959630995509</v>
      </c>
      <c r="AB596" s="110">
        <f t="shared" ca="1" si="267"/>
        <v>-28.732790433768468</v>
      </c>
      <c r="AC596" s="111">
        <f t="shared" ca="1" si="268"/>
        <v>-103.72603762645849</v>
      </c>
      <c r="AD596" s="72">
        <f t="shared" ca="1" si="269"/>
        <v>76.273962373541508</v>
      </c>
    </row>
    <row r="597" spans="1:30">
      <c r="A597" s="118">
        <v>208930</v>
      </c>
      <c r="B597" s="101">
        <f t="shared" ca="1" si="243"/>
        <v>10714.088491339638</v>
      </c>
      <c r="C597" s="102">
        <f t="shared" ca="1" si="244"/>
        <v>1.5707029917433653</v>
      </c>
      <c r="D597" s="102">
        <f t="shared" si="245"/>
        <v>277.6475597002327</v>
      </c>
      <c r="E597" s="103">
        <f t="shared" si="246"/>
        <v>1.567194630590115</v>
      </c>
      <c r="F597" s="101">
        <f t="shared" si="247"/>
        <v>15752.950888488087</v>
      </c>
      <c r="G597" s="104">
        <f t="shared" si="248"/>
        <v>1.5707328466248796</v>
      </c>
      <c r="H597" s="113">
        <f t="shared" si="249"/>
        <v>19.71656428833688</v>
      </c>
      <c r="I597" s="114">
        <f t="shared" si="250"/>
        <v>1.5200557811912923</v>
      </c>
      <c r="J597" s="101">
        <f t="shared" si="251"/>
        <v>1.0085797033967259</v>
      </c>
      <c r="K597" s="104">
        <f t="shared" si="252"/>
        <v>0.13052820707101834</v>
      </c>
      <c r="L597" s="102">
        <f t="shared" si="253"/>
        <v>1</v>
      </c>
      <c r="M597" s="103">
        <f t="shared" si="254"/>
        <v>6.8919159998272511E-9</v>
      </c>
      <c r="N597" s="101">
        <f t="shared" si="255"/>
        <v>1</v>
      </c>
      <c r="O597" s="104">
        <f t="shared" si="256"/>
        <v>1.10270655997236E-9</v>
      </c>
      <c r="P597" s="105">
        <f t="shared" ca="1" si="257"/>
        <v>12.472985039111181</v>
      </c>
      <c r="Q597" s="106">
        <f t="shared" ca="1" si="258"/>
        <v>1.8439785797388695</v>
      </c>
      <c r="R597" s="107">
        <f t="shared" ca="1" si="259"/>
        <v>-39.577303849378467</v>
      </c>
      <c r="S597" s="108">
        <f t="shared" ca="1" si="260"/>
        <v>-116.23550155980683</v>
      </c>
      <c r="T597" s="116">
        <f t="shared" ca="1" si="261"/>
        <v>63.764498440193165</v>
      </c>
      <c r="V597" s="72">
        <f t="shared" ca="1" si="262"/>
        <v>208930</v>
      </c>
      <c r="W597" s="72">
        <f t="shared" si="263"/>
        <v>43651744900</v>
      </c>
      <c r="Y597" s="110">
        <f t="shared" si="264"/>
        <v>5.9575815717746305</v>
      </c>
      <c r="Z597" s="111">
        <f t="shared" si="265"/>
        <v>-10.382297020198124</v>
      </c>
      <c r="AA597" s="72">
        <f t="shared" si="266"/>
        <v>169.61770297980189</v>
      </c>
      <c r="AB597" s="110">
        <f t="shared" ca="1" si="267"/>
        <v>-29.617285074271599</v>
      </c>
      <c r="AC597" s="111">
        <f t="shared" ca="1" si="268"/>
        <v>-105.85320453960875</v>
      </c>
      <c r="AD597" s="72">
        <f t="shared" ca="1" si="269"/>
        <v>74.146795460391246</v>
      </c>
    </row>
    <row r="598" spans="1:30">
      <c r="A598" s="118">
        <v>229090</v>
      </c>
      <c r="B598" s="101">
        <f t="shared" ca="1" si="243"/>
        <v>11747.908537223739</v>
      </c>
      <c r="C598" s="102">
        <f t="shared" ca="1" si="244"/>
        <v>1.5707112052604517</v>
      </c>
      <c r="D598" s="102">
        <f t="shared" si="245"/>
        <v>304.43789803524766</v>
      </c>
      <c r="E598" s="103">
        <f t="shared" si="246"/>
        <v>1.5675115787240499</v>
      </c>
      <c r="F598" s="101">
        <f t="shared" si="247"/>
        <v>17272.97907347095</v>
      </c>
      <c r="G598" s="104">
        <f t="shared" si="248"/>
        <v>1.5707384329019958</v>
      </c>
      <c r="H598" s="113">
        <f t="shared" si="249"/>
        <v>21.614368957383032</v>
      </c>
      <c r="I598" s="114">
        <f t="shared" si="250"/>
        <v>1.52451428655812</v>
      </c>
      <c r="J598" s="101">
        <f t="shared" si="251"/>
        <v>1.0103064649550844</v>
      </c>
      <c r="K598" s="104">
        <f t="shared" si="252"/>
        <v>0.14295955510421099</v>
      </c>
      <c r="L598" s="102">
        <f t="shared" si="253"/>
        <v>1</v>
      </c>
      <c r="M598" s="103">
        <f t="shared" si="254"/>
        <v>7.5569283319792506E-9</v>
      </c>
      <c r="N598" s="101">
        <f t="shared" si="255"/>
        <v>1</v>
      </c>
      <c r="O598" s="104">
        <f t="shared" si="256"/>
        <v>1.2091085331166801E-9</v>
      </c>
      <c r="P598" s="105">
        <f t="shared" ca="1" si="257"/>
        <v>13.83760987079426</v>
      </c>
      <c r="Q598" s="106">
        <f t="shared" ca="1" si="258"/>
        <v>1.8828413423599473</v>
      </c>
      <c r="R598" s="107">
        <f t="shared" ca="1" si="259"/>
        <v>-40.495865222675285</v>
      </c>
      <c r="S598" s="108">
        <f t="shared" ca="1" si="260"/>
        <v>-118.90161492432532</v>
      </c>
      <c r="T598" s="116">
        <f t="shared" ca="1" si="261"/>
        <v>61.098385075674685</v>
      </c>
      <c r="V598" s="72">
        <f t="shared" ca="1" si="262"/>
        <v>229090</v>
      </c>
      <c r="W598" s="72">
        <f t="shared" si="263"/>
        <v>52482228100</v>
      </c>
      <c r="Y598" s="110">
        <f t="shared" si="264"/>
        <v>5.9408432868663521</v>
      </c>
      <c r="Z598" s="111">
        <f t="shared" si="265"/>
        <v>-10.839427294320942</v>
      </c>
      <c r="AA598" s="72">
        <f t="shared" si="266"/>
        <v>169.16057270567904</v>
      </c>
      <c r="AB598" s="110">
        <f t="shared" ca="1" si="267"/>
        <v>-30.519108162660139</v>
      </c>
      <c r="AC598" s="111">
        <f t="shared" ca="1" si="268"/>
        <v>-108.06218763000442</v>
      </c>
      <c r="AD598" s="72">
        <f t="shared" ca="1" si="269"/>
        <v>71.937812369995584</v>
      </c>
    </row>
    <row r="599" spans="1:30">
      <c r="A599" s="118">
        <v>251190</v>
      </c>
      <c r="B599" s="101">
        <f t="shared" ca="1" si="243"/>
        <v>12881.213250979088</v>
      </c>
      <c r="C599" s="102">
        <f t="shared" ca="1" si="244"/>
        <v>1.5707186943559703</v>
      </c>
      <c r="D599" s="102">
        <f t="shared" si="245"/>
        <v>333.80630410773847</v>
      </c>
      <c r="E599" s="103">
        <f t="shared" si="246"/>
        <v>1.5678005730195708</v>
      </c>
      <c r="F599" s="101">
        <f t="shared" si="247"/>
        <v>18939.279812484161</v>
      </c>
      <c r="G599" s="104">
        <f t="shared" si="248"/>
        <v>1.5707435264767027</v>
      </c>
      <c r="H599" s="113">
        <f t="shared" si="249"/>
        <v>23.695210447458116</v>
      </c>
      <c r="I599" s="114">
        <f t="shared" si="250"/>
        <v>1.5285811675782743</v>
      </c>
      <c r="J599" s="101">
        <f t="shared" si="251"/>
        <v>1.0123781243114722</v>
      </c>
      <c r="K599" s="104">
        <f t="shared" si="252"/>
        <v>0.15653611059595224</v>
      </c>
      <c r="L599" s="102">
        <f t="shared" si="253"/>
        <v>1</v>
      </c>
      <c r="M599" s="103">
        <f t="shared" si="254"/>
        <v>8.2859349064117512E-9</v>
      </c>
      <c r="N599" s="101">
        <f t="shared" si="255"/>
        <v>1</v>
      </c>
      <c r="O599" s="104">
        <f t="shared" si="256"/>
        <v>1.32574958502588E-9</v>
      </c>
      <c r="P599" s="105">
        <f t="shared" ca="1" si="257"/>
        <v>15.385052607948174</v>
      </c>
      <c r="Q599" s="106">
        <f t="shared" ca="1" si="258"/>
        <v>1.9231596579566372</v>
      </c>
      <c r="R599" s="107">
        <f t="shared" ca="1" si="259"/>
        <v>-41.435987651856614</v>
      </c>
      <c r="S599" s="108">
        <f t="shared" ca="1" si="260"/>
        <v>-121.74071120547777</v>
      </c>
      <c r="T599" s="116">
        <f t="shared" ca="1" si="261"/>
        <v>58.259288794522234</v>
      </c>
      <c r="V599" s="72">
        <f t="shared" ca="1" si="262"/>
        <v>251190</v>
      </c>
      <c r="W599" s="72">
        <f t="shared" si="263"/>
        <v>63096416100</v>
      </c>
      <c r="Y599" s="110">
        <f t="shared" si="264"/>
        <v>5.9214868033284676</v>
      </c>
      <c r="Z599" s="111">
        <f t="shared" si="265"/>
        <v>-11.384583311956479</v>
      </c>
      <c r="AA599" s="72">
        <f t="shared" si="266"/>
        <v>168.61541668804352</v>
      </c>
      <c r="AB599" s="110">
        <f t="shared" ca="1" si="267"/>
        <v>-31.439874108303577</v>
      </c>
      <c r="AC599" s="111">
        <f t="shared" ca="1" si="268"/>
        <v>-110.35612789352133</v>
      </c>
      <c r="AD599" s="72">
        <f t="shared" ca="1" si="269"/>
        <v>69.643872106478668</v>
      </c>
    </row>
    <row r="600" spans="1:30">
      <c r="A600" s="118">
        <v>275420</v>
      </c>
      <c r="B600" s="101">
        <f t="shared" ca="1" si="243"/>
        <v>14123.745976298293</v>
      </c>
      <c r="C600" s="102">
        <f t="shared" ca="1" si="244"/>
        <v>1.5707255240487616</v>
      </c>
      <c r="D600" s="102">
        <f t="shared" si="245"/>
        <v>366.00526646455995</v>
      </c>
      <c r="E600" s="103">
        <f t="shared" si="246"/>
        <v>1.5680641222727663</v>
      </c>
      <c r="F600" s="101">
        <f t="shared" si="247"/>
        <v>20766.178767989619</v>
      </c>
      <c r="G600" s="104">
        <f t="shared" si="248"/>
        <v>1.5707481715704059</v>
      </c>
      <c r="H600" s="113">
        <f t="shared" si="249"/>
        <v>25.976978378222906</v>
      </c>
      <c r="I600" s="114">
        <f t="shared" si="250"/>
        <v>1.5322911882910306</v>
      </c>
      <c r="J600" s="101">
        <f t="shared" si="251"/>
        <v>1.01486295529468</v>
      </c>
      <c r="K600" s="104">
        <f t="shared" si="252"/>
        <v>0.1713544324585328</v>
      </c>
      <c r="L600" s="102">
        <f t="shared" si="253"/>
        <v>1</v>
      </c>
      <c r="M600" s="103">
        <f t="shared" si="254"/>
        <v>9.0852032004615008E-9</v>
      </c>
      <c r="N600" s="101">
        <f t="shared" si="255"/>
        <v>1</v>
      </c>
      <c r="O600" s="104">
        <f t="shared" si="256"/>
        <v>1.4536325120738401E-9</v>
      </c>
      <c r="P600" s="105">
        <f t="shared" ca="1" si="257"/>
        <v>17.147700662070456</v>
      </c>
      <c r="Q600" s="106">
        <f t="shared" ca="1" si="258"/>
        <v>1.9649777531749102</v>
      </c>
      <c r="R600" s="107">
        <f t="shared" ca="1" si="259"/>
        <v>-42.400726626483646</v>
      </c>
      <c r="S600" s="108">
        <f t="shared" ca="1" si="260"/>
        <v>-124.75872750412238</v>
      </c>
      <c r="T600" s="116">
        <f t="shared" ca="1" si="261"/>
        <v>55.241272495877624</v>
      </c>
      <c r="V600" s="72">
        <f t="shared" ca="1" si="262"/>
        <v>275420</v>
      </c>
      <c r="W600" s="72">
        <f t="shared" si="263"/>
        <v>75856176400</v>
      </c>
      <c r="Y600" s="110">
        <f t="shared" si="264"/>
        <v>5.8988925413243685</v>
      </c>
      <c r="Z600" s="111">
        <f t="shared" si="265"/>
        <v>-12.021308191926385</v>
      </c>
      <c r="AA600" s="72">
        <f t="shared" si="266"/>
        <v>167.97869180807362</v>
      </c>
      <c r="AB600" s="110">
        <f t="shared" ca="1" si="267"/>
        <v>-32.382018820926504</v>
      </c>
      <c r="AC600" s="111">
        <f t="shared" ca="1" si="268"/>
        <v>-112.73741931219598</v>
      </c>
      <c r="AD600" s="72">
        <f t="shared" ca="1" si="269"/>
        <v>67.262580687804018</v>
      </c>
    </row>
    <row r="601" spans="1:30">
      <c r="A601" s="118">
        <v>302000</v>
      </c>
      <c r="B601" s="101">
        <f t="shared" ca="1" si="243"/>
        <v>15486.788479569257</v>
      </c>
      <c r="C601" s="102">
        <f t="shared" ca="1" si="244"/>
        <v>1.5707317556281881</v>
      </c>
      <c r="D601" s="102">
        <f t="shared" si="245"/>
        <v>401.32714053523438</v>
      </c>
      <c r="E601" s="103">
        <f t="shared" si="246"/>
        <v>1.5683045914154803</v>
      </c>
      <c r="F601" s="101">
        <f t="shared" si="247"/>
        <v>22770.263549158466</v>
      </c>
      <c r="G601" s="104">
        <f t="shared" si="248"/>
        <v>1.570752409867973</v>
      </c>
      <c r="H601" s="113">
        <f t="shared" si="249"/>
        <v>28.480390762168895</v>
      </c>
      <c r="I601" s="114">
        <f t="shared" si="250"/>
        <v>1.5356772304165263</v>
      </c>
      <c r="J601" s="101">
        <f t="shared" si="251"/>
        <v>1.0178437482784835</v>
      </c>
      <c r="K601" s="104">
        <f t="shared" si="252"/>
        <v>0.1875227657428544</v>
      </c>
      <c r="L601" s="102">
        <f t="shared" si="253"/>
        <v>1</v>
      </c>
      <c r="M601" s="103">
        <f t="shared" si="254"/>
        <v>9.9619902931500002E-9</v>
      </c>
      <c r="N601" s="101">
        <f t="shared" si="255"/>
        <v>1</v>
      </c>
      <c r="O601" s="104">
        <f t="shared" si="256"/>
        <v>1.593918446904E-9</v>
      </c>
      <c r="P601" s="105">
        <f t="shared" ca="1" si="257"/>
        <v>19.165917182614685</v>
      </c>
      <c r="Q601" s="106">
        <f t="shared" ca="1" si="258"/>
        <v>2.0083110694224349</v>
      </c>
      <c r="R601" s="107">
        <f t="shared" ca="1" si="259"/>
        <v>-43.393763778876256</v>
      </c>
      <c r="S601" s="108">
        <f t="shared" ca="1" si="260"/>
        <v>-127.96073694756286</v>
      </c>
      <c r="T601" s="116">
        <f t="shared" ca="1" si="261"/>
        <v>52.039263052437136</v>
      </c>
      <c r="V601" s="72">
        <f t="shared" ca="1" si="262"/>
        <v>302000</v>
      </c>
      <c r="W601" s="72">
        <f t="shared" si="263"/>
        <v>91204000000</v>
      </c>
      <c r="Y601" s="110">
        <f t="shared" si="264"/>
        <v>5.8723351114857936</v>
      </c>
      <c r="Z601" s="111">
        <f t="shared" si="265"/>
        <v>-12.753922323036148</v>
      </c>
      <c r="AA601" s="72">
        <f t="shared" si="266"/>
        <v>167.24607767696386</v>
      </c>
      <c r="AB601" s="110">
        <f t="shared" ca="1" si="267"/>
        <v>-33.348498543480545</v>
      </c>
      <c r="AC601" s="111">
        <f t="shared" ca="1" si="268"/>
        <v>-115.20681462452669</v>
      </c>
      <c r="AD601" s="72">
        <f t="shared" ca="1" si="269"/>
        <v>64.793185375473314</v>
      </c>
    </row>
    <row r="602" spans="1:30">
      <c r="A602" s="118">
        <v>331130</v>
      </c>
      <c r="B602" s="101">
        <f t="shared" ca="1" si="243"/>
        <v>16980.596912058096</v>
      </c>
      <c r="C602" s="102">
        <f t="shared" ca="1" si="244"/>
        <v>1.5707374360500213</v>
      </c>
      <c r="D602" s="102">
        <f t="shared" si="245"/>
        <v>440.03770415200887</v>
      </c>
      <c r="E602" s="103">
        <f t="shared" si="246"/>
        <v>1.5685237923022828</v>
      </c>
      <c r="F602" s="101">
        <f t="shared" si="247"/>
        <v>24966.613800694751</v>
      </c>
      <c r="G602" s="104">
        <f t="shared" si="248"/>
        <v>1.5707562733055347</v>
      </c>
      <c r="H602" s="113">
        <f t="shared" si="249"/>
        <v>31.224284511244242</v>
      </c>
      <c r="I602" s="114">
        <f t="shared" si="250"/>
        <v>1.5387644950811519</v>
      </c>
      <c r="J602" s="101">
        <f t="shared" si="251"/>
        <v>1.0214141818139337</v>
      </c>
      <c r="K602" s="104">
        <f t="shared" si="252"/>
        <v>0.20512872903707266</v>
      </c>
      <c r="L602" s="102">
        <f t="shared" si="253"/>
        <v>1</v>
      </c>
      <c r="M602" s="103">
        <f t="shared" si="254"/>
        <v>1.092289352904225E-8</v>
      </c>
      <c r="N602" s="101">
        <f t="shared" si="255"/>
        <v>1</v>
      </c>
      <c r="O602" s="104">
        <f t="shared" si="256"/>
        <v>1.7476629646467602E-9</v>
      </c>
      <c r="P602" s="105">
        <f t="shared" ca="1" si="257"/>
        <v>21.485660873258919</v>
      </c>
      <c r="Q602" s="106">
        <f t="shared" ca="1" si="258"/>
        <v>2.0530580058709109</v>
      </c>
      <c r="R602" s="107">
        <f t="shared" ca="1" si="259"/>
        <v>-44.417466585326352</v>
      </c>
      <c r="S602" s="108">
        <f t="shared" ca="1" si="260"/>
        <v>-131.34439520250257</v>
      </c>
      <c r="T602" s="116">
        <f t="shared" ca="1" si="261"/>
        <v>48.655604797497432</v>
      </c>
      <c r="V602" s="72">
        <f t="shared" ca="1" si="262"/>
        <v>331130</v>
      </c>
      <c r="W602" s="72">
        <f t="shared" si="263"/>
        <v>109647076900</v>
      </c>
      <c r="Y602" s="110">
        <f t="shared" si="264"/>
        <v>5.8410190256347958</v>
      </c>
      <c r="Z602" s="111">
        <f t="shared" si="265"/>
        <v>-13.586003791904874</v>
      </c>
      <c r="AA602" s="72">
        <f t="shared" si="266"/>
        <v>166.41399620809511</v>
      </c>
      <c r="AB602" s="110">
        <f t="shared" ca="1" si="267"/>
        <v>-34.340885264079638</v>
      </c>
      <c r="AC602" s="111">
        <f t="shared" ca="1" si="268"/>
        <v>-117.7583914105977</v>
      </c>
      <c r="AD602" s="72">
        <f t="shared" ca="1" si="269"/>
        <v>62.241608589402304</v>
      </c>
    </row>
    <row r="603" spans="1:30">
      <c r="A603" s="118">
        <v>363080</v>
      </c>
      <c r="B603" s="101">
        <f t="shared" ca="1" si="243"/>
        <v>18619.017077979286</v>
      </c>
      <c r="C603" s="102">
        <f t="shared" ca="1" si="244"/>
        <v>1.5707426182668742</v>
      </c>
      <c r="D603" s="102">
        <f t="shared" si="245"/>
        <v>482.49575758978051</v>
      </c>
      <c r="E603" s="103">
        <f t="shared" si="246"/>
        <v>1.5687237682279318</v>
      </c>
      <c r="F603" s="101">
        <f t="shared" si="247"/>
        <v>27375.587042952451</v>
      </c>
      <c r="G603" s="104">
        <f t="shared" si="248"/>
        <v>1.5707597978978669</v>
      </c>
      <c r="H603" s="113">
        <f t="shared" si="249"/>
        <v>34.234092221476253</v>
      </c>
      <c r="I603" s="114">
        <f t="shared" si="250"/>
        <v>1.5415815236541361</v>
      </c>
      <c r="J603" s="101">
        <f t="shared" si="251"/>
        <v>1.0256915947621452</v>
      </c>
      <c r="K603" s="104">
        <f t="shared" si="252"/>
        <v>0.22429151418149526</v>
      </c>
      <c r="L603" s="102">
        <f t="shared" si="253"/>
        <v>1</v>
      </c>
      <c r="M603" s="103">
        <f t="shared" si="254"/>
        <v>1.1976819323301002E-8</v>
      </c>
      <c r="N603" s="101">
        <f t="shared" si="255"/>
        <v>1</v>
      </c>
      <c r="O603" s="104">
        <f t="shared" si="256"/>
        <v>1.9162910917281601E-9</v>
      </c>
      <c r="P603" s="105">
        <f t="shared" ca="1" si="257"/>
        <v>24.167175430100748</v>
      </c>
      <c r="Q603" s="106">
        <f t="shared" ca="1" si="258"/>
        <v>2.0991375814403685</v>
      </c>
      <c r="R603" s="107">
        <f t="shared" ca="1" si="259"/>
        <v>-45.476061716396174</v>
      </c>
      <c r="S603" s="108">
        <f t="shared" ca="1" si="260"/>
        <v>-134.91014430910434</v>
      </c>
      <c r="T603" s="116">
        <f t="shared" ca="1" si="261"/>
        <v>45.089855690895661</v>
      </c>
      <c r="V603" s="72">
        <f t="shared" ca="1" si="262"/>
        <v>363080</v>
      </c>
      <c r="W603" s="72">
        <f t="shared" si="263"/>
        <v>131827086400</v>
      </c>
      <c r="Y603" s="110">
        <f t="shared" si="264"/>
        <v>5.8039712264697982</v>
      </c>
      <c r="Z603" s="111">
        <f t="shared" si="265"/>
        <v>-14.522748551008226</v>
      </c>
      <c r="AA603" s="72">
        <f t="shared" si="266"/>
        <v>165.47725144899178</v>
      </c>
      <c r="AB603" s="110">
        <f t="shared" ca="1" si="267"/>
        <v>-35.362432595984465</v>
      </c>
      <c r="AC603" s="111">
        <f t="shared" ca="1" si="268"/>
        <v>-120.38739575809612</v>
      </c>
      <c r="AD603" s="72">
        <f t="shared" ca="1" si="269"/>
        <v>59.612604241903881</v>
      </c>
    </row>
    <row r="604" spans="1:30">
      <c r="A604" s="118">
        <v>398110</v>
      </c>
      <c r="B604" s="101">
        <f t="shared" ca="1" si="243"/>
        <v>20415.381973988369</v>
      </c>
      <c r="C604" s="102">
        <f t="shared" ca="1" si="244"/>
        <v>1.5707473441208681</v>
      </c>
      <c r="D604" s="102">
        <f t="shared" si="245"/>
        <v>529.04681240089917</v>
      </c>
      <c r="E604" s="103">
        <f t="shared" si="246"/>
        <v>1.5689061337684351</v>
      </c>
      <c r="F604" s="101">
        <f t="shared" si="247"/>
        <v>30016.78681405335</v>
      </c>
      <c r="G604" s="104">
        <f t="shared" si="248"/>
        <v>1.5707630121031417</v>
      </c>
      <c r="H604" s="113">
        <f t="shared" si="249"/>
        <v>37.534307007896267</v>
      </c>
      <c r="I604" s="114">
        <f t="shared" si="250"/>
        <v>1.5441508810816029</v>
      </c>
      <c r="J604" s="101">
        <f t="shared" si="251"/>
        <v>1.0308103436415237</v>
      </c>
      <c r="K604" s="104">
        <f t="shared" si="252"/>
        <v>0.24511031994862817</v>
      </c>
      <c r="L604" s="102">
        <f t="shared" si="253"/>
        <v>1</v>
      </c>
      <c r="M604" s="103">
        <f t="shared" si="254"/>
        <v>1.3132344223860751E-8</v>
      </c>
      <c r="N604" s="101">
        <f t="shared" si="255"/>
        <v>1</v>
      </c>
      <c r="O604" s="104">
        <f t="shared" si="256"/>
        <v>2.1011750758177202E-9</v>
      </c>
      <c r="P604" s="105">
        <f t="shared" ca="1" si="257"/>
        <v>27.280882342649758</v>
      </c>
      <c r="Q604" s="106">
        <f t="shared" ca="1" si="258"/>
        <v>2.1463583372705322</v>
      </c>
      <c r="R604" s="107">
        <f t="shared" ca="1" si="259"/>
        <v>-46.572578117402742</v>
      </c>
      <c r="S604" s="108">
        <f t="shared" ca="1" si="260"/>
        <v>-138.65131679664236</v>
      </c>
      <c r="T604" s="116">
        <f t="shared" ca="1" si="261"/>
        <v>41.348683203357638</v>
      </c>
      <c r="V604" s="72">
        <f t="shared" ca="1" si="262"/>
        <v>398110</v>
      </c>
      <c r="W604" s="72">
        <f t="shared" si="263"/>
        <v>158491572100</v>
      </c>
      <c r="Y604" s="110">
        <f t="shared" si="264"/>
        <v>5.7601083200181948</v>
      </c>
      <c r="Z604" s="111">
        <f t="shared" si="265"/>
        <v>-15.568549025291226</v>
      </c>
      <c r="AA604" s="72">
        <f t="shared" si="266"/>
        <v>164.43145097470878</v>
      </c>
      <c r="AB604" s="110">
        <f t="shared" ca="1" si="267"/>
        <v>-36.415086090539425</v>
      </c>
      <c r="AC604" s="111">
        <f t="shared" ca="1" si="268"/>
        <v>-123.08276777135116</v>
      </c>
      <c r="AD604" s="72">
        <f t="shared" ca="1" si="269"/>
        <v>56.917232228648842</v>
      </c>
    </row>
    <row r="605" spans="1:30">
      <c r="A605" s="118">
        <v>436520</v>
      </c>
      <c r="B605" s="101">
        <f t="shared" ca="1" si="243"/>
        <v>22385.075826999451</v>
      </c>
      <c r="C605" s="102">
        <f t="shared" ca="1" si="244"/>
        <v>1.5707516541742603</v>
      </c>
      <c r="D605" s="102">
        <f t="shared" si="245"/>
        <v>580.08953591004092</v>
      </c>
      <c r="E605" s="103">
        <f t="shared" si="246"/>
        <v>1.5690724541280316</v>
      </c>
      <c r="F605" s="101">
        <f t="shared" si="247"/>
        <v>32912.832581063645</v>
      </c>
      <c r="G605" s="104">
        <f t="shared" si="248"/>
        <v>1.5707659435090555</v>
      </c>
      <c r="H605" s="113">
        <f t="shared" si="249"/>
        <v>41.153192227128713</v>
      </c>
      <c r="I605" s="114">
        <f t="shared" si="250"/>
        <v>1.5464944833025243</v>
      </c>
      <c r="J605" s="101">
        <f t="shared" si="251"/>
        <v>1.0369310537560774</v>
      </c>
      <c r="K605" s="104">
        <f t="shared" si="252"/>
        <v>0.26769076165472883</v>
      </c>
      <c r="L605" s="102">
        <f t="shared" si="253"/>
        <v>1</v>
      </c>
      <c r="M605" s="103">
        <f t="shared" si="254"/>
        <v>1.4399364247569E-8</v>
      </c>
      <c r="N605" s="101">
        <f t="shared" si="255"/>
        <v>1</v>
      </c>
      <c r="O605" s="104">
        <f t="shared" si="256"/>
        <v>2.3038982796110403E-9</v>
      </c>
      <c r="P605" s="105">
        <f t="shared" ca="1" si="257"/>
        <v>30.9139116606211</v>
      </c>
      <c r="Q605" s="106">
        <f t="shared" ca="1" si="258"/>
        <v>2.1944936153913535</v>
      </c>
      <c r="R605" s="107">
        <f t="shared" ca="1" si="259"/>
        <v>-47.710432626202447</v>
      </c>
      <c r="S605" s="108">
        <f t="shared" ca="1" si="260"/>
        <v>-142.55963596572829</v>
      </c>
      <c r="T605" s="116">
        <f t="shared" ca="1" si="261"/>
        <v>37.44036403427171</v>
      </c>
      <c r="V605" s="72">
        <f t="shared" ca="1" si="262"/>
        <v>436520</v>
      </c>
      <c r="W605" s="72">
        <f t="shared" si="263"/>
        <v>190549710400</v>
      </c>
      <c r="Y605" s="110">
        <f t="shared" si="264"/>
        <v>5.7081674000402778</v>
      </c>
      <c r="Z605" s="111">
        <f t="shared" si="265"/>
        <v>-16.728202416007989</v>
      </c>
      <c r="AA605" s="72">
        <f t="shared" si="266"/>
        <v>163.271797583992</v>
      </c>
      <c r="AB605" s="110">
        <f t="shared" ca="1" si="267"/>
        <v>-37.500999679361222</v>
      </c>
      <c r="AC605" s="111">
        <f t="shared" ca="1" si="268"/>
        <v>-125.83143354972032</v>
      </c>
      <c r="AD605" s="72">
        <f t="shared" ca="1" si="269"/>
        <v>54.168566450279684</v>
      </c>
    </row>
    <row r="606" spans="1:30">
      <c r="A606" s="118">
        <v>478630</v>
      </c>
      <c r="B606" s="101">
        <f t="shared" ca="1" si="243"/>
        <v>24544.508479057858</v>
      </c>
      <c r="C606" s="102">
        <f t="shared" ca="1" si="244"/>
        <v>1.5707555844837955</v>
      </c>
      <c r="D606" s="102">
        <f t="shared" si="245"/>
        <v>636.0491734026275</v>
      </c>
      <c r="E606" s="103">
        <f t="shared" si="246"/>
        <v>1.5692241206608606</v>
      </c>
      <c r="F606" s="101">
        <f t="shared" si="247"/>
        <v>36087.851775523086</v>
      </c>
      <c r="G606" s="104">
        <f t="shared" si="248"/>
        <v>1.5707686166389596</v>
      </c>
      <c r="H606" s="113">
        <f t="shared" si="249"/>
        <v>45.120897403048673</v>
      </c>
      <c r="I606" s="114">
        <f t="shared" si="250"/>
        <v>1.5486318322984995</v>
      </c>
      <c r="J606" s="101">
        <f t="shared" si="251"/>
        <v>1.0442412531478737</v>
      </c>
      <c r="K606" s="104">
        <f t="shared" si="252"/>
        <v>0.29212830862429479</v>
      </c>
      <c r="L606" s="102">
        <f t="shared" si="253"/>
        <v>1</v>
      </c>
      <c r="M606" s="103">
        <f t="shared" si="254"/>
        <v>1.5788435145729751E-8</v>
      </c>
      <c r="N606" s="101">
        <f t="shared" si="255"/>
        <v>1</v>
      </c>
      <c r="O606" s="104">
        <f t="shared" si="256"/>
        <v>2.5261496233167601E-9</v>
      </c>
      <c r="P606" s="105">
        <f t="shared" ca="1" si="257"/>
        <v>35.171386166435923</v>
      </c>
      <c r="Q606" s="106">
        <f t="shared" ca="1" si="258"/>
        <v>2.243255540956306</v>
      </c>
      <c r="R606" s="107">
        <f t="shared" ca="1" si="259"/>
        <v>-48.892595967092305</v>
      </c>
      <c r="S606" s="108">
        <f t="shared" ca="1" si="260"/>
        <v>-146.62288416249891</v>
      </c>
      <c r="T606" s="116">
        <f t="shared" ca="1" si="261"/>
        <v>33.377115837501094</v>
      </c>
      <c r="V606" s="72">
        <f t="shared" ca="1" si="262"/>
        <v>478630</v>
      </c>
      <c r="W606" s="72">
        <f t="shared" si="263"/>
        <v>229086676900</v>
      </c>
      <c r="Y606" s="110">
        <f t="shared" si="264"/>
        <v>5.6467166969991407</v>
      </c>
      <c r="Z606" s="111">
        <f t="shared" si="265"/>
        <v>-18.006062735868849</v>
      </c>
      <c r="AA606" s="72">
        <f t="shared" si="266"/>
        <v>161.99393726413115</v>
      </c>
      <c r="AB606" s="110">
        <f t="shared" ca="1" si="267"/>
        <v>-38.621712317209941</v>
      </c>
      <c r="AC606" s="111">
        <f t="shared" ca="1" si="268"/>
        <v>-128.61682142663</v>
      </c>
      <c r="AD606" s="72">
        <f t="shared" ca="1" si="269"/>
        <v>51.383178573370003</v>
      </c>
    </row>
    <row r="607" spans="1:30">
      <c r="A607" s="118">
        <v>524810</v>
      </c>
      <c r="B607" s="101">
        <f t="shared" ca="1" si="243"/>
        <v>26912.653810032083</v>
      </c>
      <c r="C607" s="102">
        <f t="shared" ca="1" si="244"/>
        <v>1.5707591695525345</v>
      </c>
      <c r="D607" s="102">
        <f t="shared" si="245"/>
        <v>697.41741487860202</v>
      </c>
      <c r="E607" s="103">
        <f t="shared" si="246"/>
        <v>1.5693624647757869</v>
      </c>
      <c r="F607" s="101">
        <f t="shared" si="247"/>
        <v>39569.74174015192</v>
      </c>
      <c r="G607" s="104">
        <f t="shared" si="248"/>
        <v>1.570771054959496</v>
      </c>
      <c r="H607" s="113">
        <f t="shared" si="249"/>
        <v>49.472284860792278</v>
      </c>
      <c r="I607" s="114">
        <f t="shared" si="250"/>
        <v>1.5505816123979215</v>
      </c>
      <c r="J607" s="101">
        <f t="shared" si="251"/>
        <v>1.0529642173797291</v>
      </c>
      <c r="K607" s="104">
        <f t="shared" si="252"/>
        <v>0.31852015381146953</v>
      </c>
      <c r="L607" s="102">
        <f t="shared" si="253"/>
        <v>1</v>
      </c>
      <c r="M607" s="103">
        <f t="shared" si="254"/>
        <v>1.7311762005788249E-8</v>
      </c>
      <c r="N607" s="101">
        <f t="shared" si="255"/>
        <v>1</v>
      </c>
      <c r="O607" s="104">
        <f t="shared" si="256"/>
        <v>2.7698819209261203E-9</v>
      </c>
      <c r="P607" s="105">
        <f t="shared" ca="1" si="257"/>
        <v>40.183013755702852</v>
      </c>
      <c r="Q607" s="106">
        <f t="shared" ca="1" si="258"/>
        <v>2.2923362797450362</v>
      </c>
      <c r="R607" s="107">
        <f t="shared" ca="1" si="259"/>
        <v>-50.122272439528224</v>
      </c>
      <c r="S607" s="108">
        <f t="shared" ca="1" si="260"/>
        <v>-150.82784903495701</v>
      </c>
      <c r="T607" s="116">
        <f t="shared" ca="1" si="261"/>
        <v>29.172150965042988</v>
      </c>
      <c r="V607" s="72">
        <f t="shared" ca="1" si="262"/>
        <v>524810</v>
      </c>
      <c r="W607" s="72">
        <f t="shared" si="263"/>
        <v>275425536100</v>
      </c>
      <c r="Y607" s="110">
        <f t="shared" si="264"/>
        <v>5.5741024509386392</v>
      </c>
      <c r="Z607" s="111">
        <f t="shared" si="265"/>
        <v>-19.406629541741985</v>
      </c>
      <c r="AA607" s="72">
        <f t="shared" si="266"/>
        <v>160.59337045825802</v>
      </c>
      <c r="AB607" s="110">
        <f t="shared" ca="1" si="267"/>
        <v>-39.778774543585357</v>
      </c>
      <c r="AC607" s="111">
        <f t="shared" ca="1" si="268"/>
        <v>-131.42121949321501</v>
      </c>
      <c r="AD607" s="72">
        <f t="shared" ca="1" si="269"/>
        <v>48.578780506784994</v>
      </c>
    </row>
    <row r="608" spans="1:30">
      <c r="A608" s="118">
        <v>575440</v>
      </c>
      <c r="B608" s="101">
        <f t="shared" ca="1" si="243"/>
        <v>29508.998507357617</v>
      </c>
      <c r="C608" s="102">
        <f t="shared" ca="1" si="244"/>
        <v>1.5707624388267929</v>
      </c>
      <c r="D608" s="102">
        <f t="shared" si="245"/>
        <v>764.6992393723815</v>
      </c>
      <c r="E608" s="103">
        <f t="shared" si="246"/>
        <v>1.5694886227545006</v>
      </c>
      <c r="F608" s="101">
        <f t="shared" si="247"/>
        <v>43387.153799908156</v>
      </c>
      <c r="G608" s="104">
        <f t="shared" si="248"/>
        <v>1.5707732784980506</v>
      </c>
      <c r="H608" s="113">
        <f t="shared" si="249"/>
        <v>54.243160770749547</v>
      </c>
      <c r="I608" s="114">
        <f t="shared" si="250"/>
        <v>1.5523597784985061</v>
      </c>
      <c r="J608" s="101">
        <f t="shared" si="251"/>
        <v>1.063355704893217</v>
      </c>
      <c r="K608" s="104">
        <f t="shared" si="252"/>
        <v>0.34693557270361985</v>
      </c>
      <c r="L608" s="102">
        <f t="shared" si="253"/>
        <v>1.0000000000000002</v>
      </c>
      <c r="M608" s="103">
        <f t="shared" si="254"/>
        <v>1.8981879782417997E-8</v>
      </c>
      <c r="N608" s="101">
        <f t="shared" si="255"/>
        <v>1</v>
      </c>
      <c r="O608" s="104">
        <f t="shared" si="256"/>
        <v>3.0371007651868801E-9</v>
      </c>
      <c r="P608" s="105">
        <f t="shared" ca="1" si="257"/>
        <v>46.103188911183793</v>
      </c>
      <c r="Q608" s="106">
        <f t="shared" ca="1" si="258"/>
        <v>2.3413725033236679</v>
      </c>
      <c r="R608" s="107">
        <f t="shared" ca="1" si="259"/>
        <v>-51.401640712586094</v>
      </c>
      <c r="S608" s="108">
        <f t="shared" ca="1" si="260"/>
        <v>-155.15670617187814</v>
      </c>
      <c r="T608" s="116">
        <f t="shared" ca="1" si="261"/>
        <v>24.843293828121858</v>
      </c>
      <c r="V608" s="72">
        <f t="shared" ca="1" si="262"/>
        <v>575440</v>
      </c>
      <c r="W608" s="72">
        <f t="shared" si="263"/>
        <v>331131193600</v>
      </c>
      <c r="Y608" s="110">
        <f t="shared" si="264"/>
        <v>5.4885048809751247</v>
      </c>
      <c r="Z608" s="111">
        <f t="shared" si="265"/>
        <v>-20.932959025260431</v>
      </c>
      <c r="AA608" s="72">
        <f t="shared" si="266"/>
        <v>159.06704097473957</v>
      </c>
      <c r="AB608" s="110">
        <f t="shared" ca="1" si="267"/>
        <v>-40.972545246679715</v>
      </c>
      <c r="AC608" s="111">
        <f t="shared" ca="1" si="268"/>
        <v>-134.22374714661774</v>
      </c>
      <c r="AD608" s="72">
        <f t="shared" ca="1" si="269"/>
        <v>45.77625285338226</v>
      </c>
    </row>
    <row r="609" spans="1:30">
      <c r="A609" s="118">
        <v>630960</v>
      </c>
      <c r="B609" s="101">
        <f t="shared" ca="1" si="243"/>
        <v>32356.106103857361</v>
      </c>
      <c r="C609" s="102">
        <f t="shared" ca="1" si="244"/>
        <v>1.5707654207273696</v>
      </c>
      <c r="D609" s="102">
        <f t="shared" si="245"/>
        <v>838.47935955962487</v>
      </c>
      <c r="E609" s="103">
        <f t="shared" si="246"/>
        <v>1.5696036913105975</v>
      </c>
      <c r="F609" s="101">
        <f t="shared" si="247"/>
        <v>47573.263173166117</v>
      </c>
      <c r="G609" s="104">
        <f t="shared" si="248"/>
        <v>1.5707753065845227</v>
      </c>
      <c r="H609" s="113">
        <f t="shared" si="249"/>
        <v>59.474986443137936</v>
      </c>
      <c r="I609" s="114">
        <f t="shared" si="250"/>
        <v>1.5539817433361296</v>
      </c>
      <c r="J609" s="101">
        <f t="shared" si="251"/>
        <v>1.0757173113253096</v>
      </c>
      <c r="K609" s="104">
        <f t="shared" si="252"/>
        <v>0.37743698468168635</v>
      </c>
      <c r="L609" s="102">
        <f t="shared" si="253"/>
        <v>1.0000000000000002</v>
      </c>
      <c r="M609" s="103">
        <f t="shared" si="254"/>
        <v>2.0813302633661999E-8</v>
      </c>
      <c r="N609" s="101">
        <f t="shared" si="255"/>
        <v>1</v>
      </c>
      <c r="O609" s="104">
        <f t="shared" si="256"/>
        <v>3.33012842138592E-9</v>
      </c>
      <c r="P609" s="105">
        <f t="shared" ca="1" si="257"/>
        <v>53.121448865355639</v>
      </c>
      <c r="Q609" s="106">
        <f t="shared" ca="1" si="258"/>
        <v>2.3900109731124983</v>
      </c>
      <c r="R609" s="107">
        <f t="shared" ca="1" si="259"/>
        <v>-52.73306105699433</v>
      </c>
      <c r="S609" s="108">
        <f t="shared" ca="1" si="260"/>
        <v>-159.59184967398994</v>
      </c>
      <c r="T609" s="116">
        <f t="shared" ca="1" si="261"/>
        <v>20.408150326010059</v>
      </c>
      <c r="V609" s="72">
        <f t="shared" ca="1" si="262"/>
        <v>630960</v>
      </c>
      <c r="W609" s="72">
        <f t="shared" si="263"/>
        <v>398110521600</v>
      </c>
      <c r="Y609" s="110">
        <f t="shared" si="264"/>
        <v>5.3878646968674175</v>
      </c>
      <c r="Z609" s="111">
        <f t="shared" si="265"/>
        <v>-22.587745575621625</v>
      </c>
      <c r="AA609" s="72">
        <f t="shared" si="266"/>
        <v>157.41225442437838</v>
      </c>
      <c r="AB609" s="110">
        <f t="shared" ca="1" si="267"/>
        <v>-42.203325406980241</v>
      </c>
      <c r="AC609" s="111">
        <f t="shared" ca="1" si="268"/>
        <v>-137.00410409836826</v>
      </c>
      <c r="AD609" s="72">
        <f t="shared" ca="1" si="269"/>
        <v>42.995895901631741</v>
      </c>
    </row>
    <row r="610" spans="1:30">
      <c r="A610" s="118">
        <v>691830</v>
      </c>
      <c r="B610" s="101">
        <f t="shared" ca="1" si="243"/>
        <v>35477.565747485016</v>
      </c>
      <c r="C610" s="102">
        <f t="shared" ca="1" si="244"/>
        <v>1.5707681399681213</v>
      </c>
      <c r="D610" s="102">
        <f t="shared" si="245"/>
        <v>919.36906606133232</v>
      </c>
      <c r="E610" s="103">
        <f t="shared" si="246"/>
        <v>1.5697086241147673</v>
      </c>
      <c r="F610" s="101">
        <f t="shared" si="247"/>
        <v>52162.753042773395</v>
      </c>
      <c r="G610" s="104">
        <f t="shared" si="248"/>
        <v>1.5707771560276014</v>
      </c>
      <c r="H610" s="113">
        <f t="shared" si="249"/>
        <v>65.211109147538139</v>
      </c>
      <c r="I610" s="114">
        <f t="shared" si="250"/>
        <v>1.5554609152376293</v>
      </c>
      <c r="J610" s="101">
        <f t="shared" si="251"/>
        <v>1.0903921569020147</v>
      </c>
      <c r="K610" s="104">
        <f t="shared" si="252"/>
        <v>0.41004912318325026</v>
      </c>
      <c r="L610" s="102">
        <f t="shared" si="253"/>
        <v>1.0000000000000002</v>
      </c>
      <c r="M610" s="103">
        <f t="shared" si="254"/>
        <v>2.282120445201975E-8</v>
      </c>
      <c r="N610" s="101">
        <f t="shared" si="255"/>
        <v>1</v>
      </c>
      <c r="O610" s="104">
        <f t="shared" si="256"/>
        <v>3.6513927123231603E-9</v>
      </c>
      <c r="P610" s="105">
        <f t="shared" ca="1" si="257"/>
        <v>61.46380260274438</v>
      </c>
      <c r="Q610" s="106">
        <f t="shared" ca="1" si="258"/>
        <v>2.4378824089885498</v>
      </c>
      <c r="R610" s="107">
        <f t="shared" ca="1" si="259"/>
        <v>-54.117950142722407</v>
      </c>
      <c r="S610" s="108">
        <f t="shared" ca="1" si="260"/>
        <v>-164.11271796684289</v>
      </c>
      <c r="T610" s="116">
        <f t="shared" ca="1" si="261"/>
        <v>15.887282033157106</v>
      </c>
      <c r="V610" s="72">
        <f t="shared" ca="1" si="262"/>
        <v>691830</v>
      </c>
      <c r="W610" s="72">
        <f t="shared" si="263"/>
        <v>478628748900</v>
      </c>
      <c r="Y610" s="110">
        <f t="shared" si="264"/>
        <v>5.2699669232127082</v>
      </c>
      <c r="Z610" s="111">
        <f t="shared" si="265"/>
        <v>-24.371639036211114</v>
      </c>
      <c r="AA610" s="72">
        <f t="shared" si="266"/>
        <v>155.62836096378888</v>
      </c>
      <c r="AB610" s="110">
        <f t="shared" ca="1" si="267"/>
        <v>-43.470316719053613</v>
      </c>
      <c r="AC610" s="111">
        <f t="shared" ca="1" si="268"/>
        <v>-139.7410789306318</v>
      </c>
      <c r="AD610" s="72">
        <f t="shared" ca="1" si="269"/>
        <v>40.258921069368199</v>
      </c>
    </row>
    <row r="611" spans="1:30">
      <c r="A611" s="118">
        <v>758580</v>
      </c>
      <c r="B611" s="101">
        <f t="shared" ca="1" si="243"/>
        <v>38900.556239146164</v>
      </c>
      <c r="C611" s="102">
        <f t="shared" ca="1" si="244"/>
        <v>1.5707706202216034</v>
      </c>
      <c r="D611" s="102">
        <f t="shared" si="245"/>
        <v>1008.0726720769602</v>
      </c>
      <c r="E611" s="103">
        <f t="shared" si="246"/>
        <v>1.5698043346581116</v>
      </c>
      <c r="F611" s="101">
        <f t="shared" si="247"/>
        <v>57195.584467229943</v>
      </c>
      <c r="G611" s="104">
        <f t="shared" si="248"/>
        <v>1.5707788429277525</v>
      </c>
      <c r="H611" s="113">
        <f t="shared" si="249"/>
        <v>71.501473777949542</v>
      </c>
      <c r="I611" s="114">
        <f t="shared" si="250"/>
        <v>1.5568101451105483</v>
      </c>
      <c r="J611" s="101">
        <f t="shared" si="251"/>
        <v>1.1077797765985962</v>
      </c>
      <c r="K611" s="104">
        <f t="shared" si="252"/>
        <v>0.44477732419398336</v>
      </c>
      <c r="L611" s="102">
        <f t="shared" si="253"/>
        <v>1.0000000000000004</v>
      </c>
      <c r="M611" s="103">
        <f t="shared" si="254"/>
        <v>2.5023068200588496E-8</v>
      </c>
      <c r="N611" s="101">
        <f t="shared" si="255"/>
        <v>1</v>
      </c>
      <c r="O611" s="104">
        <f t="shared" si="256"/>
        <v>4.0036909120941603E-9</v>
      </c>
      <c r="P611" s="105">
        <f t="shared" ca="1" si="257"/>
        <v>71.406357571637429</v>
      </c>
      <c r="Q611" s="106">
        <f t="shared" ca="1" si="258"/>
        <v>2.484657011563133</v>
      </c>
      <c r="R611" s="107">
        <f t="shared" ca="1" si="259"/>
        <v>-55.557886201069017</v>
      </c>
      <c r="S611" s="108">
        <f t="shared" ca="1" si="260"/>
        <v>-168.69993430285055</v>
      </c>
      <c r="T611" s="116">
        <f t="shared" ca="1" si="261"/>
        <v>11.300065697149449</v>
      </c>
      <c r="V611" s="72">
        <f t="shared" ca="1" si="262"/>
        <v>758580</v>
      </c>
      <c r="W611" s="72">
        <f t="shared" si="263"/>
        <v>575443616400</v>
      </c>
      <c r="Y611" s="110">
        <f t="shared" si="264"/>
        <v>5.1323808274899863</v>
      </c>
      <c r="Z611" s="111">
        <f t="shared" si="265"/>
        <v>-26.284209755369069</v>
      </c>
      <c r="AA611" s="72">
        <f t="shared" si="266"/>
        <v>153.71579024463094</v>
      </c>
      <c r="AB611" s="110">
        <f t="shared" ca="1" si="267"/>
        <v>-44.772666681677499</v>
      </c>
      <c r="AC611" s="111">
        <f t="shared" ca="1" si="268"/>
        <v>-142.41572454748149</v>
      </c>
      <c r="AD611" s="72">
        <f t="shared" ca="1" si="269"/>
        <v>37.584275452518511</v>
      </c>
    </row>
    <row r="612" spans="1:30">
      <c r="A612" s="118">
        <v>831760</v>
      </c>
      <c r="B612" s="101">
        <f t="shared" ca="1" si="243"/>
        <v>42653.281994876961</v>
      </c>
      <c r="C612" s="102">
        <f t="shared" ca="1" si="244"/>
        <v>1.5707728819401674</v>
      </c>
      <c r="D612" s="102">
        <f t="shared" si="245"/>
        <v>1105.3210687419155</v>
      </c>
      <c r="E612" s="103">
        <f t="shared" si="246"/>
        <v>1.5698916121697097</v>
      </c>
      <c r="F612" s="101">
        <f t="shared" si="247"/>
        <v>62713.226469508809</v>
      </c>
      <c r="G612" s="104">
        <f t="shared" si="248"/>
        <v>1.5707803811952785</v>
      </c>
      <c r="H612" s="113">
        <f t="shared" si="249"/>
        <v>78.397911057309713</v>
      </c>
      <c r="I612" s="114">
        <f t="shared" si="250"/>
        <v>1.5580405389762955</v>
      </c>
      <c r="J612" s="101">
        <f t="shared" si="251"/>
        <v>1.1283268332289351</v>
      </c>
      <c r="K612" s="104">
        <f t="shared" si="252"/>
        <v>0.48157174085015053</v>
      </c>
      <c r="L612" s="102">
        <f t="shared" si="253"/>
        <v>1.0000000000000004</v>
      </c>
      <c r="M612" s="103">
        <f t="shared" si="254"/>
        <v>2.7437036576921996E-8</v>
      </c>
      <c r="N612" s="101">
        <f t="shared" si="255"/>
        <v>1</v>
      </c>
      <c r="O612" s="104">
        <f t="shared" si="256"/>
        <v>4.3899258523075199E-9</v>
      </c>
      <c r="P612" s="105">
        <f t="shared" ca="1" si="257"/>
        <v>83.276909001519471</v>
      </c>
      <c r="Q612" s="106">
        <f t="shared" ca="1" si="258"/>
        <v>2.5300163765368771</v>
      </c>
      <c r="R612" s="107">
        <f t="shared" ca="1" si="259"/>
        <v>-57.053413836889789</v>
      </c>
      <c r="S612" s="108">
        <f t="shared" ca="1" si="260"/>
        <v>-173.33171986485399</v>
      </c>
      <c r="T612" s="116">
        <f t="shared" ca="1" si="261"/>
        <v>6.6682801351460057</v>
      </c>
      <c r="V612" s="72">
        <f t="shared" ca="1" si="262"/>
        <v>831760</v>
      </c>
      <c r="W612" s="72">
        <f t="shared" si="263"/>
        <v>691824697600</v>
      </c>
      <c r="Y612" s="110">
        <f t="shared" si="264"/>
        <v>4.9726082442247641</v>
      </c>
      <c r="Z612" s="111">
        <f t="shared" si="265"/>
        <v>-28.321966186152121</v>
      </c>
      <c r="AA612" s="72">
        <f t="shared" si="266"/>
        <v>151.67803381384789</v>
      </c>
      <c r="AB612" s="110">
        <f t="shared" ca="1" si="267"/>
        <v>-46.108421734233048</v>
      </c>
      <c r="AC612" s="111">
        <f t="shared" ca="1" si="268"/>
        <v>-145.00975367870188</v>
      </c>
      <c r="AD612" s="72">
        <f t="shared" ca="1" si="269"/>
        <v>34.990246321298116</v>
      </c>
    </row>
    <row r="613" spans="1:30">
      <c r="A613" s="118">
        <v>912010</v>
      </c>
      <c r="B613" s="101">
        <f t="shared" ca="1" si="243"/>
        <v>46768.562698794201</v>
      </c>
      <c r="C613" s="102">
        <f t="shared" ca="1" si="244"/>
        <v>1.5707749449105202</v>
      </c>
      <c r="D613" s="102">
        <f t="shared" si="245"/>
        <v>1211.9647476366335</v>
      </c>
      <c r="E613" s="103">
        <f t="shared" si="246"/>
        <v>1.5699712201938862</v>
      </c>
      <c r="F613" s="101">
        <f t="shared" si="247"/>
        <v>68763.933912707274</v>
      </c>
      <c r="G613" s="104">
        <f t="shared" si="248"/>
        <v>1.5707817842877547</v>
      </c>
      <c r="H613" s="113">
        <f t="shared" si="249"/>
        <v>85.960734187832571</v>
      </c>
      <c r="I613" s="114">
        <f t="shared" si="250"/>
        <v>1.5591628459257842</v>
      </c>
      <c r="J613" s="101">
        <f t="shared" si="251"/>
        <v>1.1525478601219166</v>
      </c>
      <c r="K613" s="104">
        <f t="shared" si="252"/>
        <v>0.52035460691554181</v>
      </c>
      <c r="L613" s="102">
        <f t="shared" si="253"/>
        <v>1.0000000000000004</v>
      </c>
      <c r="M613" s="103">
        <f t="shared" si="254"/>
        <v>3.0084221083628245E-8</v>
      </c>
      <c r="N613" s="101">
        <f t="shared" si="255"/>
        <v>1</v>
      </c>
      <c r="O613" s="104">
        <f t="shared" si="256"/>
        <v>4.8134753733805205E-9</v>
      </c>
      <c r="P613" s="105">
        <f t="shared" ca="1" si="257"/>
        <v>97.475955307302698</v>
      </c>
      <c r="Q613" s="106">
        <f t="shared" ca="1" si="258"/>
        <v>2.5737086908617903</v>
      </c>
      <c r="R613" s="107">
        <f t="shared" ca="1" si="259"/>
        <v>-58.605472425099975</v>
      </c>
      <c r="S613" s="108">
        <f t="shared" ca="1" si="260"/>
        <v>-177.98853342916192</v>
      </c>
      <c r="T613" s="116">
        <f t="shared" ca="1" si="261"/>
        <v>2.0114665708380812</v>
      </c>
      <c r="V613" s="72">
        <f t="shared" ca="1" si="262"/>
        <v>912010</v>
      </c>
      <c r="W613" s="72">
        <f t="shared" si="263"/>
        <v>831762240100</v>
      </c>
      <c r="Y613" s="110">
        <f t="shared" si="264"/>
        <v>4.7880083159508615</v>
      </c>
      <c r="Z613" s="111">
        <f t="shared" si="265"/>
        <v>-30.479837543934273</v>
      </c>
      <c r="AA613" s="72">
        <f t="shared" si="266"/>
        <v>149.52016245606572</v>
      </c>
      <c r="AB613" s="110">
        <f t="shared" ca="1" si="267"/>
        <v>-47.47588039416933</v>
      </c>
      <c r="AC613" s="111">
        <f t="shared" ca="1" si="268"/>
        <v>-147.50869588522764</v>
      </c>
      <c r="AD613" s="72">
        <f t="shared" ca="1" si="269"/>
        <v>32.491304114772362</v>
      </c>
    </row>
    <row r="614" spans="1:30">
      <c r="A614" s="118">
        <v>1000000</v>
      </c>
      <c r="B614" s="101">
        <f t="shared" ca="1" si="243"/>
        <v>51280.756457709424</v>
      </c>
      <c r="C614" s="102">
        <f t="shared" ca="1" si="244"/>
        <v>1.5707768263025259</v>
      </c>
      <c r="D614" s="102">
        <f t="shared" si="245"/>
        <v>1328.8940672027677</v>
      </c>
      <c r="E614" s="103">
        <f t="shared" si="246"/>
        <v>1.5700438212949794</v>
      </c>
      <c r="F614" s="101">
        <f t="shared" si="247"/>
        <v>75398.223606631465</v>
      </c>
      <c r="G614" s="104">
        <f t="shared" si="248"/>
        <v>1.5707830638829579</v>
      </c>
      <c r="H614" s="113">
        <f t="shared" si="249"/>
        <v>94.253084515471542</v>
      </c>
      <c r="I614" s="114">
        <f t="shared" si="250"/>
        <v>1.5601863953835129</v>
      </c>
      <c r="J614" s="101">
        <f t="shared" si="251"/>
        <v>1.1810098116194296</v>
      </c>
      <c r="K614" s="104">
        <f t="shared" si="252"/>
        <v>0.56098211559387845</v>
      </c>
      <c r="L614" s="102">
        <f t="shared" si="253"/>
        <v>1.0000000000000004</v>
      </c>
      <c r="M614" s="103">
        <f t="shared" si="254"/>
        <v>3.2986722824999993E-8</v>
      </c>
      <c r="N614" s="101">
        <f t="shared" si="255"/>
        <v>1</v>
      </c>
      <c r="O614" s="104">
        <f t="shared" si="256"/>
        <v>5.2778756520000005E-9</v>
      </c>
      <c r="P614" s="105">
        <f t="shared" ca="1" si="257"/>
        <v>114.47963251325822</v>
      </c>
      <c r="Q614" s="106">
        <f t="shared" ca="1" si="258"/>
        <v>2.6155136954858387</v>
      </c>
      <c r="R614" s="107">
        <f t="shared" ca="1" si="259"/>
        <v>-60.214077071422885</v>
      </c>
      <c r="S614" s="108">
        <f t="shared" ca="1" si="260"/>
        <v>-182.64894471217173</v>
      </c>
      <c r="T614" s="116">
        <f t="shared" ca="1" si="261"/>
        <v>-2.6489447121717262</v>
      </c>
      <c r="V614" s="72">
        <f t="shared" ca="1" si="262"/>
        <v>1000000</v>
      </c>
      <c r="W614" s="72">
        <f t="shared" si="263"/>
        <v>1000000000000</v>
      </c>
      <c r="Y614" s="110">
        <f t="shared" si="264"/>
        <v>4.5760186963898466</v>
      </c>
      <c r="Z614" s="111">
        <f t="shared" si="265"/>
        <v>-32.749050437587968</v>
      </c>
      <c r="AA614" s="72">
        <f t="shared" si="266"/>
        <v>147.25094956241202</v>
      </c>
      <c r="AB614" s="110">
        <f t="shared" ca="1" si="267"/>
        <v>-48.87249542093123</v>
      </c>
      <c r="AC614" s="111">
        <f t="shared" ca="1" si="268"/>
        <v>-149.89989427458372</v>
      </c>
      <c r="AD614" s="72">
        <f t="shared" ca="1" si="269"/>
        <v>30.100105725416284</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1584.9</v>
      </c>
      <c r="B618" s="101">
        <f t="shared" ref="B618:B623" ca="1" si="270">SQRT(1+(A618/Pole1)^2)</f>
        <v>81.281022624574533</v>
      </c>
      <c r="C618" s="102">
        <f t="shared" ref="C618:C623" ca="1" si="271">ATAN(A618/Pole1)</f>
        <v>1.5584930215865247</v>
      </c>
      <c r="D618" s="102">
        <f t="shared" ref="D618:D623" ca="1" si="272">SQRT(1+(A618/Zero1)^2)</f>
        <v>2.3315070566914189</v>
      </c>
      <c r="E618" s="103">
        <f t="shared" ref="E618:E623" ca="1" si="273">ATAN(A618/Zero1)</f>
        <v>1.1275136966937966</v>
      </c>
      <c r="F618" s="101">
        <f t="shared" ref="F618:F623" ca="1" si="274">SQRT(1+(A618/Pole2)^2)</f>
        <v>119.50282865826699</v>
      </c>
      <c r="G618" s="104">
        <f t="shared" ref="G618:G623" ca="1" si="275">ATAN(A618/Pole2)</f>
        <v>1.5624282263727236</v>
      </c>
      <c r="H618" s="113">
        <f t="shared" ref="H618:H623" ca="1" si="276">SQRT(1+(A618/Zero2)^2)</f>
        <v>1.0110946466402508</v>
      </c>
      <c r="I618" s="114">
        <f t="shared" ref="I618:I623" ca="1" si="277">ATAN(A618/Zero2)</f>
        <v>0.1482769874014187</v>
      </c>
      <c r="J618" s="101">
        <f t="shared" ref="J618:J623" ca="1" si="278">SQRT(1+(A618/pole4)^2)</f>
        <v>1.000000495830643</v>
      </c>
      <c r="K618" s="104">
        <f t="shared" ref="K618:K623" ca="1" si="279">ATAN(A618/pole4)</f>
        <v>9.9582170902439327E-4</v>
      </c>
      <c r="L618" s="102">
        <f t="shared" ref="L618:L623" ca="1" si="280">SQRT(1+(A618/Zerofeed)^2)</f>
        <v>1</v>
      </c>
      <c r="M618" s="103">
        <f t="shared" ref="M618:M623" ca="1" si="281">ATAN(A618/Zerofeed)</f>
        <v>5.2280657005342511E-11</v>
      </c>
      <c r="N618" s="101">
        <f t="shared" ref="N618:N623" ca="1" si="282">SQRT(1+(A618/Polefeed)^2)</f>
        <v>1</v>
      </c>
      <c r="O618" s="104">
        <f t="shared" ref="O618:O623" ca="1" si="283">ATAN(A618/Polefeed)</f>
        <v>8.3649051208548002E-12</v>
      </c>
      <c r="P618" s="105">
        <f t="shared" ref="P618:P623" ca="1" si="284">SQRT((1-(W618/pterm2))^2+(A618/pterm1)^2)</f>
        <v>1.0038916765229102</v>
      </c>
      <c r="Q618" s="106">
        <f t="shared" ref="Q618:Q623" ca="1" si="285">IF((ATAN((A618/pterm1)/(1-A618^2/pterm2))&gt;0),ATAN((A618/pterm1)/(1-A618^2/pterm2)),PI()+ATAN((A618/pterm1)/(1-A618^2/pterm2)))</f>
        <v>9.0880676451374112E-2</v>
      </c>
      <c r="R618" s="107">
        <f t="shared" ref="R618:R623" ca="1" si="286">20*LOG10(((D618*H618*L618)/(B618*F618*P618*J618*N618))*Adc)</f>
        <v>-0.13636772853650925</v>
      </c>
      <c r="S618" s="108">
        <f t="shared" ref="S618:S623" ca="1" si="287">((E618+I618+M618)-(C618+G618+Q618+K618+O618))*radconv</f>
        <v>-110.98232966533482</v>
      </c>
      <c r="T618" s="116">
        <f t="shared" ref="T618:T623" ca="1" si="288">IF(S618&gt;0,S618,S618+180)</f>
        <v>69.017670334665183</v>
      </c>
      <c r="U618" s="72" t="s">
        <v>134</v>
      </c>
      <c r="W618" s="72">
        <f ca="1">A618^2</f>
        <v>2511908.0100000002</v>
      </c>
      <c r="Y618" s="110">
        <f t="shared" ref="Y618:Y623" ca="1" si="289">20*LOG10(((H618*L618)/(F618*J618*N618))*Aea)</f>
        <v>22.630667860782452</v>
      </c>
      <c r="Z618" s="111">
        <f t="shared" ref="Z618:Z623" ca="1" si="290">(I618+M618-(G618+K618+O618))*radconv</f>
        <v>-81.081954057460123</v>
      </c>
      <c r="AA618" s="72">
        <f t="shared" ref="AA618:AA623" ca="1" si="291">IF(Z618&gt;0,Z618,Z618+180)</f>
        <v>98.918045942539877</v>
      </c>
      <c r="AB618" s="110">
        <f t="shared" ref="AB618:AB623" ca="1" si="292">20*LOG10((D618/(B618*P618))*Acs*Am)</f>
        <v>-6.8494352424374583</v>
      </c>
      <c r="AC618" s="111">
        <f t="shared" ref="AC618:AC623" ca="1" si="293">(E618-(C618+Q618))*radconv</f>
        <v>-29.900375607874679</v>
      </c>
      <c r="AD618" s="72">
        <f t="shared" ref="AD618:AD623" ca="1" si="294">IF(AC618&gt;0,AC618,AC618+180)</f>
        <v>150.09962439212532</v>
      </c>
    </row>
    <row r="619" spans="1:30">
      <c r="A619" s="122">
        <f ca="1">Pole1</f>
        <v>19.500492373095579</v>
      </c>
      <c r="B619" s="101">
        <f t="shared" ca="1" si="270"/>
        <v>1.4142135623730951</v>
      </c>
      <c r="C619" s="102">
        <f t="shared" ca="1" si="271"/>
        <v>0.78539816339744828</v>
      </c>
      <c r="D619" s="102">
        <f t="shared" ca="1" si="272"/>
        <v>1.0003357134526623</v>
      </c>
      <c r="E619" s="103">
        <f t="shared" ca="1" si="273"/>
        <v>2.5908282843839229E-2</v>
      </c>
      <c r="F619" s="101">
        <f t="shared" ca="1" si="274"/>
        <v>1.7781421189577582</v>
      </c>
      <c r="G619" s="104">
        <f t="shared" ca="1" si="275"/>
        <v>0.97352930434357643</v>
      </c>
      <c r="H619" s="113">
        <f t="shared" ca="1" si="276"/>
        <v>1.0000016888965388</v>
      </c>
      <c r="I619" s="114">
        <f t="shared" ca="1" si="277"/>
        <v>1.8378760359994098E-3</v>
      </c>
      <c r="J619" s="101">
        <f t="shared" ca="1" si="278"/>
        <v>1.0000000000750622</v>
      </c>
      <c r="K619" s="104">
        <f t="shared" ca="1" si="279"/>
        <v>1.2252520701526492E-5</v>
      </c>
      <c r="L619" s="102">
        <f t="shared" ca="1" si="280"/>
        <v>1</v>
      </c>
      <c r="M619" s="103">
        <f t="shared" ca="1" si="281"/>
        <v>6.4325733686233039E-13</v>
      </c>
      <c r="N619" s="101">
        <f t="shared" ca="1" si="282"/>
        <v>1</v>
      </c>
      <c r="O619" s="104">
        <f t="shared" ca="1" si="283"/>
        <v>1.0292117389797287E-13</v>
      </c>
      <c r="P619" s="105">
        <f t="shared" ca="1" si="284"/>
        <v>1.0000006283159941</v>
      </c>
      <c r="Q619" s="106">
        <f t="shared" ca="1" si="285"/>
        <v>1.1209957295257587E-3</v>
      </c>
      <c r="R619" s="107">
        <f t="shared" ca="1" si="286"/>
        <v>64.189444977363706</v>
      </c>
      <c r="S619" s="108">
        <f t="shared" ca="1" si="287"/>
        <v>-99.254313024942022</v>
      </c>
      <c r="T619" s="116">
        <f t="shared" ca="1" si="288"/>
        <v>80.745686975057978</v>
      </c>
      <c r="U619" s="72" t="s">
        <v>107</v>
      </c>
      <c r="Y619" s="110">
        <f t="shared" ca="1" si="289"/>
        <v>59.083084937230048</v>
      </c>
      <c r="Z619" s="111">
        <f t="shared" ca="1" si="290"/>
        <v>-55.674519912374016</v>
      </c>
      <c r="AA619" s="72">
        <f t="shared" ca="1" si="291"/>
        <v>124.32548008762598</v>
      </c>
      <c r="AB619" s="110">
        <f t="shared" ca="1" si="292"/>
        <v>21.023960387015173</v>
      </c>
      <c r="AC619" s="111">
        <f t="shared" ca="1" si="293"/>
        <v>-43.579793112567998</v>
      </c>
      <c r="AD619" s="72">
        <f t="shared" ca="1" si="294"/>
        <v>136.42020688743202</v>
      </c>
    </row>
    <row r="620" spans="1:30">
      <c r="A620" s="122">
        <f>Zero1</f>
        <v>752.50564195629488</v>
      </c>
      <c r="B620" s="101">
        <f t="shared" ca="1" si="270"/>
        <v>38.602013416957035</v>
      </c>
      <c r="C620" s="102">
        <f t="shared" ca="1" si="271"/>
        <v>1.5448880439510575</v>
      </c>
      <c r="D620" s="102">
        <f t="shared" si="272"/>
        <v>1.4142135623730951</v>
      </c>
      <c r="E620" s="103">
        <f t="shared" si="273"/>
        <v>0.78539816339744828</v>
      </c>
      <c r="F620" s="101">
        <f t="shared" si="274"/>
        <v>56.746400468208428</v>
      </c>
      <c r="G620" s="104">
        <f t="shared" si="275"/>
        <v>1.5531731514684899</v>
      </c>
      <c r="H620" s="113">
        <f t="shared" si="276"/>
        <v>1.0025118094426761</v>
      </c>
      <c r="I620" s="114">
        <f t="shared" si="277"/>
        <v>7.0803432569908675E-2</v>
      </c>
      <c r="J620" s="101">
        <f t="shared" si="278"/>
        <v>1.0000001117761732</v>
      </c>
      <c r="K620" s="104">
        <f t="shared" si="279"/>
        <v>4.7281320353785198E-4</v>
      </c>
      <c r="L620" s="102">
        <f t="shared" si="280"/>
        <v>1</v>
      </c>
      <c r="M620" s="103">
        <f t="shared" si="281"/>
        <v>2.4822695035460993E-11</v>
      </c>
      <c r="N620" s="101">
        <f t="shared" si="282"/>
        <v>1</v>
      </c>
      <c r="O620" s="104">
        <f t="shared" si="283"/>
        <v>3.9716312056737586E-12</v>
      </c>
      <c r="P620" s="105">
        <f t="shared" ca="1" si="284"/>
        <v>1.0009351980440206</v>
      </c>
      <c r="Q620" s="106">
        <f t="shared" ca="1" si="285"/>
        <v>4.323367910103379E-2</v>
      </c>
      <c r="R620" s="107">
        <f t="shared" ca="1" si="286"/>
        <v>8.4091538072401288</v>
      </c>
      <c r="S620" s="108">
        <f t="shared" ca="1" si="287"/>
        <v>-130.953291004314</v>
      </c>
      <c r="T620" s="116">
        <f t="shared" ca="1" si="288"/>
        <v>49.046708995686004</v>
      </c>
      <c r="U620" s="72" t="s">
        <v>101</v>
      </c>
      <c r="Y620" s="110">
        <f t="shared" si="289"/>
        <v>29.025422254875551</v>
      </c>
      <c r="Z620" s="111">
        <f t="shared" si="290"/>
        <v>-84.960618867830689</v>
      </c>
      <c r="AA620" s="72">
        <f t="shared" si="291"/>
        <v>95.039381132169311</v>
      </c>
      <c r="AB620" s="110">
        <f t="shared" ca="1" si="292"/>
        <v>-4.6986681007539213</v>
      </c>
      <c r="AC620" s="111">
        <f t="shared" ca="1" si="293"/>
        <v>-45.992672136483293</v>
      </c>
      <c r="AD620" s="72">
        <f t="shared" ca="1" si="294"/>
        <v>134.00732786351671</v>
      </c>
    </row>
    <row r="621" spans="1:30">
      <c r="A621" s="122">
        <f>Pole2</f>
        <v>13.262911939479697</v>
      </c>
      <c r="B621" s="101">
        <f t="shared" ca="1" si="270"/>
        <v>1.2093716347467216</v>
      </c>
      <c r="C621" s="102">
        <f t="shared" ca="1" si="271"/>
        <v>0.59726702245132013</v>
      </c>
      <c r="D621" s="102">
        <f t="shared" si="272"/>
        <v>1.0001553082521735</v>
      </c>
      <c r="E621" s="103">
        <f t="shared" si="273"/>
        <v>1.7623175326406698E-2</v>
      </c>
      <c r="F621" s="101">
        <f t="shared" si="274"/>
        <v>1.4142135623730951</v>
      </c>
      <c r="G621" s="104">
        <f t="shared" si="275"/>
        <v>0.78539816339744828</v>
      </c>
      <c r="H621" s="113">
        <f t="shared" si="276"/>
        <v>1.0000007812496949</v>
      </c>
      <c r="I621" s="114">
        <f t="shared" si="277"/>
        <v>1.2499993489589435E-3</v>
      </c>
      <c r="J621" s="101">
        <f t="shared" si="278"/>
        <v>1.0000000000347222</v>
      </c>
      <c r="K621" s="104">
        <f t="shared" si="279"/>
        <v>8.3333333331404304E-6</v>
      </c>
      <c r="L621" s="102">
        <f t="shared" si="280"/>
        <v>1</v>
      </c>
      <c r="M621" s="103">
        <f t="shared" si="281"/>
        <v>4.3749999999999995E-13</v>
      </c>
      <c r="N621" s="101">
        <f t="shared" si="282"/>
        <v>1</v>
      </c>
      <c r="O621" s="104">
        <f t="shared" si="283"/>
        <v>6.9999999999999992E-14</v>
      </c>
      <c r="P621" s="105">
        <f t="shared" ca="1" si="284"/>
        <v>1.000000290646305</v>
      </c>
      <c r="Q621" s="106">
        <f t="shared" ca="1" si="285"/>
        <v>7.6242539951504437E-4</v>
      </c>
      <c r="R621" s="107">
        <f t="shared" ca="1" si="286"/>
        <v>67.536007252450418</v>
      </c>
      <c r="S621" s="108">
        <f t="shared" ca="1" si="287"/>
        <v>-78.183687685626268</v>
      </c>
      <c r="T621" s="116">
        <f t="shared" ca="1" si="288"/>
        <v>101.81631231437373</v>
      </c>
      <c r="U621" s="72" t="s">
        <v>111</v>
      </c>
      <c r="X621" s="72">
        <f>Pole2</f>
        <v>13.262911939479697</v>
      </c>
      <c r="Y621" s="110">
        <f t="shared" si="289"/>
        <v>61.072106482023074</v>
      </c>
      <c r="Z621" s="111">
        <f t="shared" si="290"/>
        <v>-44.92885782905747</v>
      </c>
      <c r="AA621" s="72">
        <f t="shared" si="291"/>
        <v>135.07114217094252</v>
      </c>
      <c r="AB621" s="110">
        <f t="shared" ca="1" si="292"/>
        <v>22.381501117308847</v>
      </c>
      <c r="AC621" s="111">
        <f t="shared" ca="1" si="293"/>
        <v>-33.254829856568811</v>
      </c>
      <c r="AD621" s="72">
        <f t="shared" ca="1" si="294"/>
        <v>146.74517014343118</v>
      </c>
    </row>
    <row r="622" spans="1:30">
      <c r="A622" s="122">
        <f>Zero2</f>
        <v>10610.329551583758</v>
      </c>
      <c r="B622" s="101">
        <f t="shared" ca="1" si="270"/>
        <v>544.10664450562729</v>
      </c>
      <c r="C622" s="102">
        <f t="shared" ca="1" si="271"/>
        <v>1.5689584507588972</v>
      </c>
      <c r="D622" s="102">
        <f t="shared" si="272"/>
        <v>14.135416513141733</v>
      </c>
      <c r="E622" s="103">
        <f t="shared" si="273"/>
        <v>1.4999928942249878</v>
      </c>
      <c r="F622" s="101">
        <f t="shared" si="274"/>
        <v>800.00062499975604</v>
      </c>
      <c r="G622" s="104">
        <f t="shared" si="275"/>
        <v>1.5695463274459376</v>
      </c>
      <c r="H622" s="113">
        <f t="shared" si="276"/>
        <v>1.4142135623730951</v>
      </c>
      <c r="I622" s="114">
        <f t="shared" si="277"/>
        <v>0.78539816339744828</v>
      </c>
      <c r="J622" s="101">
        <f t="shared" si="278"/>
        <v>1.0000222219753141</v>
      </c>
      <c r="K622" s="104">
        <f t="shared" si="279"/>
        <v>6.6665679038682276E-3</v>
      </c>
      <c r="L622" s="102">
        <f t="shared" si="280"/>
        <v>1</v>
      </c>
      <c r="M622" s="103">
        <f t="shared" si="281"/>
        <v>3.4999999999999998E-10</v>
      </c>
      <c r="N622" s="101">
        <f t="shared" si="282"/>
        <v>1</v>
      </c>
      <c r="O622" s="104">
        <f t="shared" si="283"/>
        <v>5.6E-11</v>
      </c>
      <c r="P622" s="105">
        <f t="shared" ca="1" si="284"/>
        <v>1.1713357010572476</v>
      </c>
      <c r="Q622" s="106">
        <f t="shared" ca="1" si="285"/>
        <v>0.55274270785781243</v>
      </c>
      <c r="R622" s="107">
        <f t="shared" ca="1" si="286"/>
        <v>-15.936685954952381</v>
      </c>
      <c r="S622" s="108">
        <f t="shared" ca="1" si="287"/>
        <v>-80.931606231321666</v>
      </c>
      <c r="T622" s="116">
        <f t="shared" ca="1" si="288"/>
        <v>99.068393768678334</v>
      </c>
      <c r="U622" s="72" t="s">
        <v>105</v>
      </c>
      <c r="X622" s="72">
        <f>Zero2</f>
        <v>10610.329551583758</v>
      </c>
      <c r="Y622" s="110">
        <f t="shared" si="289"/>
        <v>9.0307000685929228</v>
      </c>
      <c r="Z622" s="111">
        <f t="shared" si="290"/>
        <v>-45.310346552569236</v>
      </c>
      <c r="AA622" s="72">
        <f t="shared" si="291"/>
        <v>134.68965344743077</v>
      </c>
      <c r="AB622" s="110">
        <f t="shared" ca="1" si="292"/>
        <v>-9.0497856766638005</v>
      </c>
      <c r="AC622" s="111">
        <f t="shared" ca="1" si="293"/>
        <v>-35.621259678752416</v>
      </c>
      <c r="AD622" s="72">
        <f t="shared" ca="1" si="294"/>
        <v>144.37874032124759</v>
      </c>
    </row>
    <row r="623" spans="1:30">
      <c r="A623" s="122">
        <f>Pole3</f>
        <v>100000</v>
      </c>
      <c r="B623" s="101">
        <f t="shared" ca="1" si="270"/>
        <v>5128.0757422983797</v>
      </c>
      <c r="C623" s="102">
        <f t="shared" ca="1" si="271"/>
        <v>1.5706013218736374</v>
      </c>
      <c r="D623" s="102">
        <f t="shared" si="272"/>
        <v>132.89313156994663</v>
      </c>
      <c r="E623" s="103">
        <f t="shared" si="273"/>
        <v>1.5632714124096454</v>
      </c>
      <c r="F623" s="101">
        <f t="shared" si="274"/>
        <v>7539.8224263145603</v>
      </c>
      <c r="G623" s="104">
        <f t="shared" si="275"/>
        <v>1.5706636976762796</v>
      </c>
      <c r="H623" s="113">
        <f t="shared" si="276"/>
        <v>9.4776811197046626</v>
      </c>
      <c r="I623" s="114">
        <f t="shared" si="277"/>
        <v>1.465088530294518</v>
      </c>
      <c r="J623" s="101">
        <f t="shared" si="278"/>
        <v>1.0019719765299895</v>
      </c>
      <c r="K623" s="104">
        <f t="shared" si="279"/>
        <v>6.2749364897807941E-2</v>
      </c>
      <c r="L623" s="102">
        <f t="shared" si="280"/>
        <v>1</v>
      </c>
      <c r="M623" s="103">
        <f t="shared" si="281"/>
        <v>3.2986722825000003E-9</v>
      </c>
      <c r="N623" s="101">
        <f t="shared" si="282"/>
        <v>1</v>
      </c>
      <c r="O623" s="104">
        <f t="shared" si="283"/>
        <v>5.2778756520000007E-10</v>
      </c>
      <c r="P623" s="105">
        <f t="shared" ca="1" si="284"/>
        <v>5.834883255362227</v>
      </c>
      <c r="Q623" s="106" t="e">
        <f t="shared" ca="1" si="285"/>
        <v>#DIV/0!</v>
      </c>
      <c r="R623" s="107">
        <f t="shared" ca="1" si="286"/>
        <v>-32.883823714440624</v>
      </c>
      <c r="S623" s="108" t="e">
        <f t="shared" ca="1" si="287"/>
        <v>#DIV/0!</v>
      </c>
      <c r="T623" s="116" t="e">
        <f t="shared" ca="1" si="288"/>
        <v>#DIV/0!</v>
      </c>
      <c r="U623" s="72" t="s">
        <v>102</v>
      </c>
      <c r="Y623" s="110">
        <f t="shared" si="289"/>
        <v>6.0521076462518728</v>
      </c>
      <c r="Z623" s="111">
        <f t="shared" si="290"/>
        <v>-9.6442851403931265</v>
      </c>
      <c r="AA623" s="72">
        <f t="shared" si="291"/>
        <v>170.35571485960688</v>
      </c>
      <c r="AB623" s="110">
        <f t="shared" ca="1" si="292"/>
        <v>-23.01833101381099</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 ref="N12:O12"/>
    <mergeCell ref="AB11:AC11"/>
    <mergeCell ref="Y11:Z11"/>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2026-07-20T22:38:31Z</dcterms:modified>
</cp:coreProperties>
</file>